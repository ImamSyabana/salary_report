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Coolyeah\Udemy\vercel app\laporanGaji\"/>
    </mc:Choice>
  </mc:AlternateContent>
  <xr:revisionPtr revIDLastSave="0" documentId="13_ncr:1_{8D89960F-5B49-4A1F-9ECE-505FA156F401}" xr6:coauthVersionLast="47" xr6:coauthVersionMax="47" xr10:uidLastSave="{00000000-0000-0000-0000-000000000000}"/>
  <bookViews>
    <workbookView xWindow="8925" yWindow="3735" windowWidth="21600" windowHeight="11280" activeTab="1" xr2:uid="{D61370B7-BC64-4536-9509-01BE739F5398}"/>
  </bookViews>
  <sheets>
    <sheet name="BGR" sheetId="1" r:id="rId1"/>
    <sheet name="KRW" sheetId="2" r:id="rId2"/>
    <sheet name="ckr" sheetId="3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5" i="3" l="1"/>
  <c r="M34" i="3"/>
  <c r="K34" i="3"/>
  <c r="I34" i="3"/>
  <c r="K33" i="3"/>
  <c r="P33" i="3" s="1"/>
  <c r="U33" i="3" s="1"/>
  <c r="M32" i="3"/>
  <c r="K32" i="3"/>
  <c r="I32" i="3"/>
  <c r="K31" i="3"/>
  <c r="P31" i="3" s="1"/>
  <c r="U31" i="3" s="1"/>
  <c r="M30" i="3"/>
  <c r="K30" i="3"/>
  <c r="I30" i="3"/>
  <c r="K29" i="3"/>
  <c r="P29" i="3" s="1"/>
  <c r="U29" i="3" s="1"/>
  <c r="M28" i="3"/>
  <c r="K28" i="3"/>
  <c r="I28" i="3"/>
  <c r="P27" i="3"/>
  <c r="U27" i="3" s="1"/>
  <c r="M26" i="3"/>
  <c r="K26" i="3"/>
  <c r="I26" i="3"/>
  <c r="P26" i="3" s="1"/>
  <c r="U26" i="3" s="1"/>
  <c r="K22" i="3"/>
  <c r="P22" i="3" s="1"/>
  <c r="U22" i="3" s="1"/>
  <c r="K21" i="3"/>
  <c r="P21" i="3" s="1"/>
  <c r="U21" i="3" s="1"/>
  <c r="M20" i="3"/>
  <c r="K20" i="3"/>
  <c r="M19" i="3"/>
  <c r="K19" i="3"/>
  <c r="M18" i="3"/>
  <c r="K18" i="3"/>
  <c r="M17" i="3"/>
  <c r="K17" i="3"/>
  <c r="M16" i="3"/>
  <c r="K16" i="3"/>
  <c r="M15" i="3"/>
  <c r="K15" i="3"/>
  <c r="M14" i="3"/>
  <c r="K14" i="3"/>
  <c r="M13" i="3"/>
  <c r="K13" i="3"/>
  <c r="M12" i="3"/>
  <c r="K12" i="3"/>
  <c r="M11" i="3"/>
  <c r="K11" i="3"/>
  <c r="M10" i="3"/>
  <c r="K10" i="3"/>
  <c r="M9" i="3"/>
  <c r="K9" i="3"/>
  <c r="M8" i="3"/>
  <c r="K8" i="3"/>
  <c r="M7" i="3"/>
  <c r="P7" i="3" s="1"/>
  <c r="U7" i="3" s="1"/>
  <c r="K7" i="3"/>
  <c r="M6" i="3"/>
  <c r="K6" i="3"/>
  <c r="M5" i="3"/>
  <c r="K5" i="3"/>
  <c r="Q30" i="2"/>
  <c r="P30" i="2"/>
  <c r="N29" i="2"/>
  <c r="M29" i="2"/>
  <c r="J29" i="2"/>
  <c r="N28" i="2"/>
  <c r="M28" i="2"/>
  <c r="J28" i="2"/>
  <c r="N27" i="2"/>
  <c r="M27" i="2"/>
  <c r="J27" i="2"/>
  <c r="N26" i="2"/>
  <c r="M26" i="2"/>
  <c r="J26" i="2"/>
  <c r="N25" i="2"/>
  <c r="M25" i="2"/>
  <c r="J25" i="2"/>
  <c r="Q23" i="2"/>
  <c r="P23" i="2"/>
  <c r="J22" i="2"/>
  <c r="O22" i="2" s="1"/>
  <c r="R22" i="2" s="1"/>
  <c r="M21" i="2"/>
  <c r="J21" i="2"/>
  <c r="M20" i="2"/>
  <c r="J20" i="2"/>
  <c r="M19" i="2"/>
  <c r="J19" i="2"/>
  <c r="M18" i="2"/>
  <c r="J18" i="2"/>
  <c r="M17" i="2"/>
  <c r="J17" i="2"/>
  <c r="M16" i="2"/>
  <c r="J16" i="2"/>
  <c r="J15" i="2"/>
  <c r="O15" i="2" s="1"/>
  <c r="R15" i="2" s="1"/>
  <c r="M14" i="2"/>
  <c r="J14" i="2"/>
  <c r="M13" i="2"/>
  <c r="J13" i="2"/>
  <c r="O13" i="2" s="1"/>
  <c r="R13" i="2" s="1"/>
  <c r="M12" i="2"/>
  <c r="J12" i="2"/>
  <c r="M11" i="2"/>
  <c r="J11" i="2"/>
  <c r="M10" i="2"/>
  <c r="J10" i="2"/>
  <c r="M9" i="2"/>
  <c r="J9" i="2"/>
  <c r="O9" i="2" s="1"/>
  <c r="R9" i="2" s="1"/>
  <c r="M8" i="2"/>
  <c r="J8" i="2"/>
  <c r="M7" i="2"/>
  <c r="J7" i="2"/>
  <c r="T24" i="1"/>
  <c r="T26" i="1"/>
  <c r="T28" i="1"/>
  <c r="T30" i="1"/>
  <c r="T18" i="1"/>
  <c r="T20" i="1"/>
  <c r="S34" i="1"/>
  <c r="Q34" i="1"/>
  <c r="N33" i="1"/>
  <c r="K32" i="1"/>
  <c r="N31" i="1"/>
  <c r="K31" i="1"/>
  <c r="K30" i="1"/>
  <c r="P30" i="1" s="1"/>
  <c r="N29" i="1"/>
  <c r="K29" i="1"/>
  <c r="N27" i="1"/>
  <c r="K27" i="1"/>
  <c r="N25" i="1"/>
  <c r="K25" i="1"/>
  <c r="K21" i="1"/>
  <c r="P21" i="1" s="1"/>
  <c r="T21" i="1" s="1"/>
  <c r="K20" i="1"/>
  <c r="P20" i="1" s="1"/>
  <c r="K19" i="1"/>
  <c r="P19" i="1" s="1"/>
  <c r="T19" i="1" s="1"/>
  <c r="K17" i="1"/>
  <c r="P17" i="1" s="1"/>
  <c r="T17" i="1" s="1"/>
  <c r="K16" i="1"/>
  <c r="P16" i="1" s="1"/>
  <c r="T16" i="1" s="1"/>
  <c r="N15" i="1"/>
  <c r="K15" i="1"/>
  <c r="R14" i="1"/>
  <c r="N14" i="1"/>
  <c r="K14" i="1"/>
  <c r="K13" i="1"/>
  <c r="P13" i="1" s="1"/>
  <c r="T13" i="1" s="1"/>
  <c r="R12" i="1"/>
  <c r="O12" i="1"/>
  <c r="N12" i="1"/>
  <c r="K12" i="1"/>
  <c r="O11" i="1"/>
  <c r="N11" i="1"/>
  <c r="K11" i="1"/>
  <c r="N10" i="1"/>
  <c r="K10" i="1"/>
  <c r="R9" i="1"/>
  <c r="O9" i="1"/>
  <c r="N9" i="1"/>
  <c r="K9" i="1"/>
  <c r="R8" i="1"/>
  <c r="O8" i="1"/>
  <c r="N8" i="1"/>
  <c r="K8" i="1"/>
  <c r="P8" i="1" s="1"/>
  <c r="T8" i="1" s="1"/>
  <c r="R7" i="1"/>
  <c r="O7" i="1"/>
  <c r="N7" i="1"/>
  <c r="K7" i="1"/>
  <c r="P30" i="3" l="1"/>
  <c r="U30" i="3" s="1"/>
  <c r="P5" i="3"/>
  <c r="U5" i="3" s="1"/>
  <c r="P34" i="3"/>
  <c r="U34" i="3" s="1"/>
  <c r="P32" i="3"/>
  <c r="U32" i="3" s="1"/>
  <c r="P12" i="3"/>
  <c r="U12" i="3" s="1"/>
  <c r="P16" i="3"/>
  <c r="U16" i="3" s="1"/>
  <c r="P20" i="3"/>
  <c r="U20" i="3" s="1"/>
  <c r="P6" i="3"/>
  <c r="U6" i="3" s="1"/>
  <c r="P13" i="3"/>
  <c r="U13" i="3" s="1"/>
  <c r="P17" i="3"/>
  <c r="U17" i="3" s="1"/>
  <c r="P9" i="3"/>
  <c r="U9" i="3" s="1"/>
  <c r="P8" i="3"/>
  <c r="U8" i="3" s="1"/>
  <c r="P10" i="3"/>
  <c r="U10" i="3" s="1"/>
  <c r="P14" i="3"/>
  <c r="U14" i="3" s="1"/>
  <c r="P18" i="3"/>
  <c r="U18" i="3" s="1"/>
  <c r="P11" i="3"/>
  <c r="U11" i="3" s="1"/>
  <c r="P15" i="3"/>
  <c r="U15" i="3" s="1"/>
  <c r="P19" i="3"/>
  <c r="U19" i="3" s="1"/>
  <c r="P28" i="3"/>
  <c r="P10" i="1"/>
  <c r="T10" i="1" s="1"/>
  <c r="O8" i="2"/>
  <c r="R8" i="2" s="1"/>
  <c r="O12" i="2"/>
  <c r="R12" i="2" s="1"/>
  <c r="O17" i="2"/>
  <c r="R17" i="2" s="1"/>
  <c r="O16" i="2"/>
  <c r="R16" i="2" s="1"/>
  <c r="O20" i="2"/>
  <c r="O7" i="2"/>
  <c r="R7" i="2" s="1"/>
  <c r="O11" i="2"/>
  <c r="R11" i="2" s="1"/>
  <c r="O18" i="2"/>
  <c r="R18" i="2" s="1"/>
  <c r="O21" i="2"/>
  <c r="R21" i="2" s="1"/>
  <c r="O28" i="2"/>
  <c r="R28" i="2" s="1"/>
  <c r="O26" i="2"/>
  <c r="R26" i="2" s="1"/>
  <c r="O19" i="2"/>
  <c r="R19" i="2" s="1"/>
  <c r="O29" i="2"/>
  <c r="R29" i="2" s="1"/>
  <c r="O25" i="2"/>
  <c r="R25" i="2" s="1"/>
  <c r="O10" i="2"/>
  <c r="O14" i="2"/>
  <c r="R14" i="2" s="1"/>
  <c r="O27" i="2"/>
  <c r="R27" i="2" s="1"/>
  <c r="R20" i="2"/>
  <c r="P31" i="1"/>
  <c r="T31" i="1" s="1"/>
  <c r="P12" i="1"/>
  <c r="T12" i="1" s="1"/>
  <c r="P14" i="1"/>
  <c r="T14" i="1" s="1"/>
  <c r="P29" i="1"/>
  <c r="T29" i="1" s="1"/>
  <c r="P15" i="1"/>
  <c r="T15" i="1" s="1"/>
  <c r="P25" i="1"/>
  <c r="T25" i="1" s="1"/>
  <c r="P11" i="1"/>
  <c r="T11" i="1" s="1"/>
  <c r="P27" i="1"/>
  <c r="T27" i="1" s="1"/>
  <c r="P9" i="1"/>
  <c r="T9" i="1" s="1"/>
  <c r="P7" i="1"/>
  <c r="T7" i="1" s="1"/>
  <c r="R34" i="1"/>
  <c r="U28" i="3" l="1"/>
  <c r="O23" i="2"/>
  <c r="R23" i="2" s="1"/>
  <c r="O30" i="2"/>
  <c r="R30" i="2" s="1"/>
  <c r="R10" i="2"/>
  <c r="P34" i="1"/>
  <c r="T3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G5" authorId="0" shapeId="0" xr:uid="{42E0C231-F4FE-4937-B5D9-101F00BDE300}">
      <text>
        <r>
          <rPr>
            <sz val="9"/>
            <color indexed="81"/>
            <rFont val="Tahoma"/>
            <family val="2"/>
          </rPr>
          <t xml:space="preserve">27=117
</t>
        </r>
      </text>
    </comment>
    <comment ref="G6" authorId="0" shapeId="0" xr:uid="{4F19EC5A-71BF-46EE-A171-512A51E10828}">
      <text>
        <r>
          <rPr>
            <sz val="9"/>
            <color indexed="81"/>
            <rFont val="Tahoma"/>
            <family val="2"/>
          </rPr>
          <t xml:space="preserve">7=14 29=19 
= 482-33
</t>
        </r>
      </text>
    </comment>
    <comment ref="G9" authorId="0" shapeId="0" xr:uid="{2D90669F-16A1-4E30-B459-A97770C9F42B}">
      <text>
        <r>
          <rPr>
            <sz val="9"/>
            <color indexed="81"/>
            <rFont val="Tahoma"/>
            <family val="2"/>
          </rPr>
          <t xml:space="preserve">8=25
</t>
        </r>
      </text>
    </comment>
    <comment ref="G10" authorId="0" shapeId="0" xr:uid="{1BE75C78-7A86-44C5-ADE7-43236C7ED937}">
      <text>
        <r>
          <rPr>
            <sz val="9"/>
            <color indexed="81"/>
            <rFont val="Tahoma"/>
            <family val="2"/>
          </rPr>
          <t xml:space="preserve">11=17
</t>
        </r>
      </text>
    </comment>
    <comment ref="G15" authorId="0" shapeId="0" xr:uid="{BAF6A55E-194E-4B96-815E-5BB0288C685A}">
      <text>
        <r>
          <rPr>
            <sz val="9"/>
            <color indexed="81"/>
            <rFont val="Tahoma"/>
            <family val="2"/>
          </rPr>
          <t xml:space="preserve">kpb
</t>
        </r>
      </text>
    </comment>
  </commentList>
</comments>
</file>

<file path=xl/sharedStrings.xml><?xml version="1.0" encoding="utf-8"?>
<sst xmlns="http://schemas.openxmlformats.org/spreadsheetml/2006/main" count="233" uniqueCount="173">
  <si>
    <t>LAPORAN GAJI OKTOBER 2025</t>
  </si>
  <si>
    <t>CV KIRANA MOTORINDO JAYA</t>
  </si>
  <si>
    <t>KARYAWAN OFFICE</t>
  </si>
  <si>
    <t>NO</t>
  </si>
  <si>
    <t>NAMA</t>
  </si>
  <si>
    <t>JABATAN</t>
  </si>
  <si>
    <t>NO REK</t>
  </si>
  <si>
    <t>HADIR</t>
  </si>
  <si>
    <t>UM/HR</t>
  </si>
  <si>
    <t>FAKTUR</t>
  </si>
  <si>
    <t>GAJI POKOK</t>
  </si>
  <si>
    <t>TUNJANGAN HADIR</t>
  </si>
  <si>
    <t>UM</t>
  </si>
  <si>
    <t>KOMUNIKASI</t>
  </si>
  <si>
    <t>TUNJANGAN JABATAN</t>
  </si>
  <si>
    <t>INSENTIF</t>
  </si>
  <si>
    <t>LEMBUR</t>
  </si>
  <si>
    <t>TOTAL</t>
  </si>
  <si>
    <t>KASBON</t>
  </si>
  <si>
    <t>ABSEN</t>
  </si>
  <si>
    <t>BPJS</t>
  </si>
  <si>
    <t>TOTAL TERIMA</t>
  </si>
  <si>
    <t>UNIT</t>
  </si>
  <si>
    <t>TARIF</t>
  </si>
  <si>
    <t>Nur Apriyanti</t>
  </si>
  <si>
    <t>ADH</t>
  </si>
  <si>
    <t>Nurratna Ulan</t>
  </si>
  <si>
    <t>Kasir</t>
  </si>
  <si>
    <t>Asri Widyaningrum</t>
  </si>
  <si>
    <t>Admin Surat Jalan</t>
  </si>
  <si>
    <t>Harshinta</t>
  </si>
  <si>
    <t>Admin BPKB</t>
  </si>
  <si>
    <t>Teti Ayu Alawiyah</t>
  </si>
  <si>
    <t>Admin Tagihan</t>
  </si>
  <si>
    <t>Indah Putri Lestari</t>
  </si>
  <si>
    <t>PIC CRM</t>
  </si>
  <si>
    <t>Dimas Tri Pamungkas</t>
  </si>
  <si>
    <t>Andika Rizaldi</t>
  </si>
  <si>
    <t>PDI</t>
  </si>
  <si>
    <t>Ahmad Fitro Ramadan</t>
  </si>
  <si>
    <t xml:space="preserve">PDI </t>
  </si>
  <si>
    <t>M. Rizki Alvi</t>
  </si>
  <si>
    <t>OB</t>
  </si>
  <si>
    <t>Rahmat Budiansah</t>
  </si>
  <si>
    <t>Dadan</t>
  </si>
  <si>
    <t>OB Gunung Sindur</t>
  </si>
  <si>
    <t>M Burhanudin</t>
  </si>
  <si>
    <t>Security</t>
  </si>
  <si>
    <t>8730986476</t>
  </si>
  <si>
    <t>Arif Rahman Hakim</t>
  </si>
  <si>
    <t>Triryono Basri</t>
  </si>
  <si>
    <t>M  Sopian Sidik</t>
  </si>
  <si>
    <t>Delivery Man</t>
  </si>
  <si>
    <t>Enday</t>
  </si>
  <si>
    <t>Aris Adipraja</t>
  </si>
  <si>
    <t>Zaenal Mutaqin</t>
  </si>
  <si>
    <t xml:space="preserve">‎1673058691 </t>
  </si>
  <si>
    <t>Bogor, 3 November 2025</t>
  </si>
  <si>
    <t>Dibuat oleh,</t>
  </si>
  <si>
    <t>Mengetahuui,</t>
  </si>
  <si>
    <t>Menyetujui,</t>
  </si>
  <si>
    <t>(Nur Apriyanti)</t>
  </si>
  <si>
    <t>( Yogawan Donny P )</t>
  </si>
  <si>
    <t>( H. DEDI BASUNI  )</t>
  </si>
  <si>
    <t>NO REKENING</t>
  </si>
  <si>
    <t>DRIVER</t>
  </si>
  <si>
    <t>RIDWAN</t>
  </si>
  <si>
    <t>Admin Crm/ traning</t>
  </si>
  <si>
    <t>TELAT</t>
  </si>
  <si>
    <t>PENGAJUAN GAJI BULAN OKTOBER 2025</t>
  </si>
  <si>
    <t>PT VIRGI MOTOR KARAWANG</t>
  </si>
  <si>
    <t xml:space="preserve"> </t>
  </si>
  <si>
    <t>NO. REKENING</t>
  </si>
  <si>
    <t>Hari Kerja</t>
  </si>
  <si>
    <t>UM /HR</t>
  </si>
  <si>
    <t>UANG MAKAN</t>
  </si>
  <si>
    <t>TUNJ. JABATAN</t>
  </si>
  <si>
    <t>TUNJ. HADIR</t>
  </si>
  <si>
    <t>INSENTIVE BASE ON SALE</t>
  </si>
  <si>
    <t>Komunikasi / Download</t>
  </si>
  <si>
    <t>GAJI DI TERIMA</t>
  </si>
  <si>
    <t>POTONGAN</t>
  </si>
  <si>
    <t>Gaji dibayar / transfer</t>
  </si>
  <si>
    <t>Kasbon</t>
  </si>
  <si>
    <t>ENDAH FATRIKA S</t>
  </si>
  <si>
    <t>ADM UMUM</t>
  </si>
  <si>
    <t>ATIKAH NOVIANTHI</t>
  </si>
  <si>
    <t>ADM TAGIH</t>
  </si>
  <si>
    <t>KACIH</t>
  </si>
  <si>
    <t>ADM STNK</t>
  </si>
  <si>
    <t>ARDIANI SAFITRI MUNIR</t>
  </si>
  <si>
    <t>ADM SJ</t>
  </si>
  <si>
    <t>KARNI RIZKITA SURUR</t>
  </si>
  <si>
    <t>ADM FAKTUR</t>
  </si>
  <si>
    <t>SELLY YUSVIKASARI</t>
  </si>
  <si>
    <t>ADM BPKB</t>
  </si>
  <si>
    <t>NUR SYAMSIAH</t>
  </si>
  <si>
    <t>TR KASIR</t>
  </si>
  <si>
    <t xml:space="preserve">HALIPAH </t>
  </si>
  <si>
    <t>ADM CRM</t>
  </si>
  <si>
    <t>JONI ALYER</t>
  </si>
  <si>
    <t>PIC NOS</t>
  </si>
  <si>
    <t>SITI WAHYUNI</t>
  </si>
  <si>
    <t>TR ADM</t>
  </si>
  <si>
    <t>SUB TOTAL</t>
  </si>
  <si>
    <t>A G U S</t>
  </si>
  <si>
    <t>FIRMANSYAH NIMAT</t>
  </si>
  <si>
    <t>SATRIA</t>
  </si>
  <si>
    <t>AMSARI</t>
  </si>
  <si>
    <t>UMUM</t>
  </si>
  <si>
    <t>MUHAMAD NUR ADI</t>
  </si>
  <si>
    <t>Off Boy</t>
  </si>
  <si>
    <t>ARI WAHYUDI</t>
  </si>
  <si>
    <t>ADE NURJEN</t>
  </si>
  <si>
    <t>DELEVERY</t>
  </si>
  <si>
    <t>ADANG</t>
  </si>
  <si>
    <t>ENDA</t>
  </si>
  <si>
    <t>AJA SAPUTRA WIJAYA</t>
  </si>
  <si>
    <t>SUNARSAN</t>
  </si>
  <si>
    <t>PT VIRGI MOTOR CIKARANG</t>
  </si>
  <si>
    <t xml:space="preserve">LAPORAN GAJI BULAN OKTOBER 2025 </t>
  </si>
  <si>
    <t>HDR</t>
  </si>
  <si>
    <t>TUNJ  HDR/ KOMUNIKASI</t>
  </si>
  <si>
    <t>TUNJ. JAB</t>
  </si>
  <si>
    <t>INSTV DLR</t>
  </si>
  <si>
    <t>KESEHATAN</t>
  </si>
  <si>
    <t>GAJI TOTAL</t>
  </si>
  <si>
    <t>BPJS KES</t>
  </si>
  <si>
    <t>bpjs TK</t>
  </si>
  <si>
    <t>BON</t>
  </si>
  <si>
    <t>SYIFATUL JANNAH</t>
  </si>
  <si>
    <t>KASIR</t>
  </si>
  <si>
    <t xml:space="preserve">MILASARI  </t>
  </si>
  <si>
    <t>FAKTUR, CRM</t>
  </si>
  <si>
    <t>MASKUM</t>
  </si>
  <si>
    <t>PROS STNK BPKB</t>
  </si>
  <si>
    <t>DEDE RACHMAWATI</t>
  </si>
  <si>
    <t>ADMIN BPKB</t>
  </si>
  <si>
    <t>TIARA</t>
  </si>
  <si>
    <t>ADM SURAT JLN</t>
  </si>
  <si>
    <t>HELGA</t>
  </si>
  <si>
    <t>TAGIHAN</t>
  </si>
  <si>
    <t>ARIF AULIA R</t>
  </si>
  <si>
    <t>REZA</t>
  </si>
  <si>
    <t>SAEFUL RIDWAN</t>
  </si>
  <si>
    <t>STOK,  PJK, BACKUP</t>
  </si>
  <si>
    <t>SYIFA AZAHRA</t>
  </si>
  <si>
    <t>ADMIN CRM</t>
  </si>
  <si>
    <t>ZAHARA FADILA</t>
  </si>
  <si>
    <t>UMI NURHAYATI</t>
  </si>
  <si>
    <t>KASIR TRANING</t>
  </si>
  <si>
    <t>WAWAN HERMAWAN</t>
  </si>
  <si>
    <t>B.SERVICE</t>
  </si>
  <si>
    <t>ALIF</t>
  </si>
  <si>
    <t>NOS</t>
  </si>
  <si>
    <t>SUGANDA</t>
  </si>
  <si>
    <t>ANDRI SUJANA</t>
  </si>
  <si>
    <t>SUKARDONO</t>
  </si>
  <si>
    <t>SATPAM</t>
  </si>
  <si>
    <t>GAJI</t>
  </si>
  <si>
    <t xml:space="preserve">INSENTIVE </t>
  </si>
  <si>
    <t>Kesehatan</t>
  </si>
  <si>
    <t>BPJS KESEHATAN</t>
  </si>
  <si>
    <t>hdr</t>
  </si>
  <si>
    <t>A S A N  AZHARI</t>
  </si>
  <si>
    <t>ATIM</t>
  </si>
  <si>
    <t>HENGKY</t>
  </si>
  <si>
    <t>MULYADI</t>
  </si>
  <si>
    <t>UTEP</t>
  </si>
  <si>
    <t>DEDI DORA</t>
  </si>
  <si>
    <t>instv lain2</t>
  </si>
  <si>
    <t>scp/stok</t>
  </si>
  <si>
    <t>INSENTIF kirim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</si>
</sst>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164" formatCode="_-&quot;Rp&quot;* #,##0_-;\-&quot;Rp&quot;* #,##0_-;_-&quot;Rp&quot;* &quot;-&quot;_-;_-@_-"/>
    <numFmt numFmtId="165" formatCode="_-* #,##0_-;\-* #,##0_-;_-* &quot;-&quot;_-;_-@_-"/>
    <numFmt numFmtId="166" formatCode="_-* #,##0.00_-;\-* #,##0.00_-;_-* &quot;-&quot;??_-;_-@_-"/>
    <numFmt numFmtId="167" formatCode="_(* #,##0_);_(* \(#,##0\);_(* &quot;-&quot;??_);_(@_)"/>
    <numFmt numFmtId="168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entury Gothic"/>
      <family val="2"/>
    </font>
    <font>
      <sz val="9"/>
      <name val="Century Gothic"/>
      <family val="2"/>
    </font>
    <font>
      <sz val="11"/>
      <name val="Calibri"/>
      <family val="2"/>
      <scheme val="minor"/>
    </font>
    <font>
      <sz val="9"/>
      <color theme="1"/>
      <name val="Century Gothic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  <font>
      <sz val="9"/>
      <color indexed="8"/>
      <name val="Century Gothic"/>
      <family val="2"/>
    </font>
    <font>
      <b/>
      <sz val="9"/>
      <color theme="1"/>
      <name val="Century Gothic"/>
      <family val="2"/>
    </font>
    <font>
      <sz val="10"/>
      <name val="Arial"/>
      <family val="2"/>
    </font>
    <font>
      <sz val="11"/>
      <name val="Century Gothic"/>
      <family val="2"/>
    </font>
    <font>
      <sz val="10"/>
      <color rgb="FF0049A2"/>
      <name val="Century Gothic"/>
      <family val="2"/>
    </font>
    <font>
      <b/>
      <sz val="9"/>
      <color indexed="8"/>
      <name val="Century Gothic"/>
      <family val="2"/>
    </font>
    <font>
      <sz val="9"/>
      <color theme="0"/>
      <name val="Century Gothic"/>
      <family val="2"/>
    </font>
    <font>
      <sz val="10"/>
      <name val="Century Gothic"/>
      <family val="2"/>
    </font>
    <font>
      <sz val="9"/>
      <color theme="1" tint="4.9989318521683403E-2"/>
      <name val="Century Gothic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6" fontId="1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167" fontId="6" fillId="0" borderId="0" applyFont="0" applyFill="0" applyBorder="0" applyAlignment="0" applyProtection="0"/>
    <xf numFmtId="0" fontId="10" fillId="0" borderId="0"/>
  </cellStyleXfs>
  <cellXfs count="143">
    <xf numFmtId="0" fontId="0" fillId="0" borderId="0" xfId="0"/>
    <xf numFmtId="0" fontId="2" fillId="2" borderId="0" xfId="0" applyFont="1" applyFill="1"/>
    <xf numFmtId="167" fontId="2" fillId="2" borderId="0" xfId="1" applyNumberFormat="1" applyFont="1" applyFill="1" applyBorder="1" applyAlignment="1">
      <alignment horizontal="center"/>
    </xf>
    <xf numFmtId="167" fontId="2" fillId="2" borderId="0" xfId="1" applyNumberFormat="1" applyFont="1" applyFill="1" applyBorder="1" applyAlignment="1"/>
    <xf numFmtId="165" fontId="2" fillId="2" borderId="0" xfId="0" applyNumberFormat="1" applyFont="1" applyFill="1"/>
    <xf numFmtId="165" fontId="3" fillId="2" borderId="0" xfId="0" applyNumberFormat="1" applyFont="1" applyFill="1"/>
    <xf numFmtId="165" fontId="2" fillId="2" borderId="0" xfId="1" applyNumberFormat="1" applyFont="1" applyFill="1" applyAlignment="1"/>
    <xf numFmtId="165" fontId="4" fillId="2" borderId="1" xfId="0" applyNumberFormat="1" applyFont="1" applyFill="1" applyBorder="1"/>
    <xf numFmtId="167" fontId="2" fillId="2" borderId="0" xfId="1" applyNumberFormat="1" applyFont="1" applyFill="1" applyAlignment="1"/>
    <xf numFmtId="167" fontId="2" fillId="2" borderId="0" xfId="1" applyNumberFormat="1" applyFont="1" applyFill="1" applyAlignment="1">
      <alignment horizontal="right"/>
    </xf>
    <xf numFmtId="3" fontId="2" fillId="2" borderId="0" xfId="0" applyNumberFormat="1" applyFont="1" applyFill="1"/>
    <xf numFmtId="0" fontId="3" fillId="2" borderId="0" xfId="0" applyFont="1" applyFill="1"/>
    <xf numFmtId="167" fontId="3" fillId="2" borderId="0" xfId="1" applyNumberFormat="1" applyFont="1" applyFill="1" applyBorder="1" applyAlignment="1">
      <alignment horizontal="center"/>
    </xf>
    <xf numFmtId="167" fontId="3" fillId="2" borderId="0" xfId="1" applyNumberFormat="1" applyFont="1" applyFill="1" applyBorder="1" applyAlignment="1"/>
    <xf numFmtId="167" fontId="3" fillId="2" borderId="0" xfId="1" applyNumberFormat="1" applyFont="1" applyFill="1" applyAlignment="1"/>
    <xf numFmtId="167" fontId="3" fillId="2" borderId="0" xfId="1" applyNumberFormat="1" applyFont="1" applyFill="1" applyAlignment="1">
      <alignment horizontal="right"/>
    </xf>
    <xf numFmtId="3" fontId="3" fillId="2" borderId="0" xfId="0" applyNumberFormat="1" applyFont="1" applyFill="1"/>
    <xf numFmtId="0" fontId="3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67" fontId="2" fillId="2" borderId="4" xfId="1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7" fontId="2" fillId="2" borderId="2" xfId="1" applyNumberFormat="1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right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67" fontId="2" fillId="2" borderId="7" xfId="1" applyNumberFormat="1" applyFont="1" applyFill="1" applyBorder="1" applyAlignment="1">
      <alignment horizontal="center" vertical="center"/>
    </xf>
    <xf numFmtId="3" fontId="2" fillId="2" borderId="7" xfId="0" applyNumberFormat="1" applyFont="1" applyFill="1" applyBorder="1" applyAlignment="1">
      <alignment horizontal="right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left" vertical="center"/>
    </xf>
    <xf numFmtId="165" fontId="3" fillId="2" borderId="0" xfId="1" applyNumberFormat="1" applyFont="1" applyFill="1" applyBorder="1" applyAlignment="1"/>
    <xf numFmtId="165" fontId="3" fillId="2" borderId="0" xfId="1" applyNumberFormat="1" applyFont="1" applyFill="1" applyBorder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/>
    </xf>
    <xf numFmtId="165" fontId="5" fillId="0" borderId="0" xfId="1" applyNumberFormat="1" applyFont="1" applyBorder="1" applyAlignment="1">
      <alignment vertical="center"/>
    </xf>
    <xf numFmtId="165" fontId="3" fillId="2" borderId="0" xfId="1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/>
    </xf>
    <xf numFmtId="165" fontId="5" fillId="2" borderId="0" xfId="1" applyNumberFormat="1" applyFont="1" applyFill="1" applyBorder="1" applyAlignment="1">
      <alignment vertical="center"/>
    </xf>
    <xf numFmtId="165" fontId="3" fillId="2" borderId="0" xfId="2" applyNumberFormat="1" applyFont="1" applyFill="1" applyBorder="1" applyAlignment="1">
      <alignment horizontal="right" vertical="center"/>
    </xf>
    <xf numFmtId="0" fontId="3" fillId="2" borderId="0" xfId="0" quotePrefix="1" applyFont="1" applyFill="1" applyAlignment="1">
      <alignment horizontal="center"/>
    </xf>
    <xf numFmtId="165" fontId="3" fillId="2" borderId="0" xfId="0" applyNumberFormat="1" applyFont="1" applyFill="1" applyAlignment="1">
      <alignment horizontal="right"/>
    </xf>
    <xf numFmtId="41" fontId="3" fillId="2" borderId="0" xfId="0" applyNumberFormat="1" applyFont="1" applyFill="1"/>
    <xf numFmtId="0" fontId="5" fillId="2" borderId="0" xfId="0" applyFont="1" applyFill="1" applyAlignment="1">
      <alignment horizontal="center"/>
    </xf>
    <xf numFmtId="0" fontId="5" fillId="2" borderId="4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65" fontId="5" fillId="2" borderId="0" xfId="1" applyNumberFormat="1" applyFont="1" applyFill="1" applyBorder="1" applyAlignment="1"/>
    <xf numFmtId="165" fontId="5" fillId="2" borderId="0" xfId="1" applyNumberFormat="1" applyFont="1" applyFill="1" applyBorder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165" fontId="5" fillId="2" borderId="0" xfId="0" applyNumberFormat="1" applyFont="1" applyFill="1"/>
    <xf numFmtId="0" fontId="5" fillId="2" borderId="0" xfId="0" applyFont="1" applyFill="1"/>
    <xf numFmtId="1" fontId="3" fillId="2" borderId="0" xfId="0" applyNumberFormat="1" applyFont="1" applyFill="1" applyAlignment="1">
      <alignment horizontal="center" vertical="center"/>
    </xf>
    <xf numFmtId="0" fontId="3" fillId="2" borderId="4" xfId="0" applyFont="1" applyFill="1" applyBorder="1"/>
    <xf numFmtId="0" fontId="3" fillId="2" borderId="10" xfId="0" applyFont="1" applyFill="1" applyBorder="1"/>
    <xf numFmtId="0" fontId="3" fillId="2" borderId="0" xfId="2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165" fontId="2" fillId="2" borderId="0" xfId="1" applyNumberFormat="1" applyFont="1" applyFill="1" applyBorder="1" applyAlignment="1"/>
    <xf numFmtId="165" fontId="2" fillId="2" borderId="0" xfId="0" applyNumberFormat="1" applyFont="1" applyFill="1" applyAlignment="1">
      <alignment horizontal="right"/>
    </xf>
    <xf numFmtId="167" fontId="2" fillId="2" borderId="0" xfId="0" applyNumberFormat="1" applyFont="1" applyFill="1"/>
    <xf numFmtId="0" fontId="3" fillId="0" borderId="0" xfId="0" applyFont="1"/>
    <xf numFmtId="165" fontId="3" fillId="2" borderId="0" xfId="1" applyNumberFormat="1" applyFont="1" applyFill="1" applyAlignment="1"/>
    <xf numFmtId="165" fontId="2" fillId="2" borderId="0" xfId="0" applyNumberFormat="1" applyFont="1" applyFill="1" applyAlignment="1">
      <alignment horizontal="center"/>
    </xf>
    <xf numFmtId="0" fontId="5" fillId="0" borderId="0" xfId="0" applyFont="1"/>
    <xf numFmtId="165" fontId="5" fillId="0" borderId="0" xfId="0" applyNumberFormat="1" applyFont="1"/>
    <xf numFmtId="165" fontId="3" fillId="2" borderId="0" xfId="0" applyNumberFormat="1" applyFont="1" applyFill="1" applyAlignment="1">
      <alignment horizontal="center"/>
    </xf>
    <xf numFmtId="0" fontId="9" fillId="0" borderId="0" xfId="0" applyFont="1"/>
    <xf numFmtId="0" fontId="5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41" fontId="5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/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41" fontId="5" fillId="0" borderId="2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41" fontId="5" fillId="0" borderId="7" xfId="0" applyNumberFormat="1" applyFont="1" applyBorder="1" applyAlignment="1">
      <alignment horizontal="center" vertical="center"/>
    </xf>
    <xf numFmtId="3" fontId="3" fillId="0" borderId="7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65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5" fontId="3" fillId="0" borderId="0" xfId="0" applyNumberFormat="1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3" fillId="3" borderId="0" xfId="0" applyNumberFormat="1" applyFont="1" applyFill="1"/>
    <xf numFmtId="0" fontId="3" fillId="2" borderId="0" xfId="5" applyFont="1" applyFill="1" applyAlignment="1">
      <alignment vertical="center"/>
    </xf>
    <xf numFmtId="0" fontId="3" fillId="0" borderId="0" xfId="5" applyFont="1" applyAlignment="1">
      <alignment vertical="center"/>
    </xf>
    <xf numFmtId="165" fontId="3" fillId="4" borderId="0" xfId="0" applyNumberFormat="1" applyFont="1" applyFill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5" applyFont="1"/>
    <xf numFmtId="165" fontId="3" fillId="0" borderId="0" xfId="5" applyNumberFormat="1" applyFont="1" applyAlignment="1">
      <alignment horizontal="center" vertical="center"/>
    </xf>
    <xf numFmtId="0" fontId="9" fillId="0" borderId="0" xfId="0" applyFont="1" applyAlignment="1">
      <alignment horizontal="right"/>
    </xf>
    <xf numFmtId="165" fontId="5" fillId="2" borderId="0" xfId="0" applyNumberFormat="1" applyFont="1" applyFill="1" applyAlignment="1">
      <alignment horizontal="center"/>
    </xf>
    <xf numFmtId="165" fontId="9" fillId="2" borderId="0" xfId="0" applyNumberFormat="1" applyFont="1" applyFill="1" applyAlignment="1">
      <alignment horizontal="center"/>
    </xf>
    <xf numFmtId="0" fontId="5" fillId="0" borderId="7" xfId="0" applyFont="1" applyBorder="1" applyAlignment="1"/>
    <xf numFmtId="0" fontId="5" fillId="0" borderId="0" xfId="0" applyFont="1" applyAlignment="1"/>
    <xf numFmtId="41" fontId="5" fillId="0" borderId="0" xfId="0" quotePrefix="1" applyNumberFormat="1" applyFont="1" applyAlignment="1">
      <alignment vertical="center"/>
    </xf>
    <xf numFmtId="41" fontId="3" fillId="0" borderId="0" xfId="5" applyNumberFormat="1" applyFont="1" applyAlignment="1">
      <alignment vertical="center"/>
    </xf>
    <xf numFmtId="0" fontId="3" fillId="0" borderId="0" xfId="0" applyFont="1" applyAlignment="1"/>
    <xf numFmtId="0" fontId="8" fillId="0" borderId="0" xfId="0" applyFont="1"/>
    <xf numFmtId="41" fontId="8" fillId="0" borderId="0" xfId="0" applyNumberFormat="1" applyFont="1"/>
    <xf numFmtId="0" fontId="8" fillId="0" borderId="4" xfId="0" applyFont="1" applyBorder="1"/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41" fontId="8" fillId="0" borderId="4" xfId="0" applyNumberFormat="1" applyFont="1" applyBorder="1"/>
    <xf numFmtId="41" fontId="8" fillId="0" borderId="11" xfId="0" applyNumberFormat="1" applyFont="1" applyBorder="1"/>
    <xf numFmtId="0" fontId="5" fillId="0" borderId="8" xfId="0" applyFont="1" applyBorder="1"/>
    <xf numFmtId="165" fontId="5" fillId="0" borderId="9" xfId="0" applyNumberFormat="1" applyFont="1" applyBorder="1"/>
    <xf numFmtId="0" fontId="11" fillId="2" borderId="0" xfId="0" applyFont="1" applyFill="1" applyAlignment="1">
      <alignment horizontal="center"/>
    </xf>
    <xf numFmtId="0" fontId="12" fillId="0" borderId="0" xfId="0" applyFont="1"/>
    <xf numFmtId="165" fontId="13" fillId="0" borderId="0" xfId="0" applyNumberFormat="1" applyFont="1" applyAlignment="1">
      <alignment horizontal="center" vertical="center"/>
    </xf>
    <xf numFmtId="0" fontId="5" fillId="0" borderId="4" xfId="0" applyFont="1" applyBorder="1"/>
    <xf numFmtId="0" fontId="3" fillId="0" borderId="4" xfId="0" applyFont="1" applyBorder="1"/>
    <xf numFmtId="0" fontId="14" fillId="2" borderId="4" xfId="0" applyFont="1" applyFill="1" applyBorder="1"/>
    <xf numFmtId="165" fontId="3" fillId="0" borderId="4" xfId="0" applyNumberFormat="1" applyFont="1" applyBorder="1"/>
    <xf numFmtId="165" fontId="5" fillId="0" borderId="4" xfId="0" applyNumberFormat="1" applyFont="1" applyBorder="1"/>
    <xf numFmtId="0" fontId="16" fillId="0" borderId="4" xfId="0" applyFont="1" applyBorder="1"/>
    <xf numFmtId="165" fontId="16" fillId="0" borderId="4" xfId="0" applyNumberFormat="1" applyFont="1" applyBorder="1"/>
    <xf numFmtId="0" fontId="5" fillId="0" borderId="0" xfId="0" applyFont="1" applyFill="1"/>
    <xf numFmtId="0" fontId="3" fillId="0" borderId="0" xfId="0" applyFont="1" applyFill="1"/>
    <xf numFmtId="165" fontId="3" fillId="0" borderId="0" xfId="0" applyNumberFormat="1" applyFont="1" applyFill="1"/>
    <xf numFmtId="165" fontId="5" fillId="0" borderId="0" xfId="0" applyNumberFormat="1" applyFont="1" applyFill="1"/>
    <xf numFmtId="0" fontId="12" fillId="0" borderId="0" xfId="0" applyFont="1" applyFill="1"/>
    <xf numFmtId="165" fontId="13" fillId="0" borderId="0" xfId="0" applyNumberFormat="1" applyFont="1" applyFill="1" applyAlignment="1">
      <alignment horizontal="center" vertical="center"/>
    </xf>
    <xf numFmtId="0" fontId="15" fillId="0" borderId="0" xfId="0" applyFont="1" applyFill="1"/>
    <xf numFmtId="164" fontId="15" fillId="0" borderId="0" xfId="0" applyNumberFormat="1" applyFont="1" applyFill="1"/>
    <xf numFmtId="0" fontId="8" fillId="0" borderId="10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1" xfId="0" applyFont="1" applyBorder="1" applyAlignment="1">
      <alignment horizontal="center"/>
    </xf>
  </cellXfs>
  <cellStyles count="6">
    <cellStyle name="Comma" xfId="1" builtinId="3"/>
    <cellStyle name="Comma 2" xfId="2" xr:uid="{7DBC09F7-84C5-4BE2-B144-8246E85CDA6C}"/>
    <cellStyle name="Comma 2 8" xfId="4" xr:uid="{4558B802-9294-4F43-B50B-1C685264C9B1}"/>
    <cellStyle name="Hyperlink 2" xfId="3" xr:uid="{02F56E4F-3285-48D6-98B6-192B2985C527}"/>
    <cellStyle name="Normal" xfId="0" builtinId="0"/>
    <cellStyle name="Normal 4 2" xfId="5" xr:uid="{5C6C2FB2-A299-4BE3-AC6F-59EE4D574F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153148</xdr:colOff>
      <xdr:row>46</xdr:row>
      <xdr:rowOff>52639</xdr:rowOff>
    </xdr:from>
    <xdr:to>
      <xdr:col>5</xdr:col>
      <xdr:colOff>12700</xdr:colOff>
      <xdr:row>54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853111-CBEC-4BB8-A5DB-1AA7C5838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148" y="8390189"/>
          <a:ext cx="4431552" cy="14586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DA2A2-1318-457D-93B3-C75C4FE239D7}">
  <dimension ref="A1:V44"/>
  <sheetViews>
    <sheetView topLeftCell="C10" workbookViewId="0">
      <selection activeCell="I27" sqref="I27"/>
    </sheetView>
  </sheetViews>
  <sheetFormatPr defaultRowHeight="15" x14ac:dyDescent="0.25"/>
  <cols>
    <col min="2" max="2" width="19.85546875" bestFit="1" customWidth="1"/>
    <col min="3" max="3" width="17.85546875" bestFit="1" customWidth="1"/>
    <col min="4" max="4" width="10.42578125" bestFit="1" customWidth="1"/>
    <col min="9" max="9" width="12.85546875" customWidth="1"/>
    <col min="11" max="11" width="18.140625" customWidth="1"/>
    <col min="14" max="14" width="10.7109375" customWidth="1"/>
    <col min="16" max="16" width="11.85546875" customWidth="1"/>
    <col min="17" max="17" width="10.85546875" customWidth="1"/>
    <col min="19" max="19" width="8.140625" bestFit="1" customWidth="1"/>
    <col min="20" max="20" width="11.5703125" bestFit="1" customWidth="1"/>
    <col min="21" max="21" width="12.5703125" customWidth="1"/>
  </cols>
  <sheetData>
    <row r="1" spans="1:22" s="1" customFormat="1" ht="15.75" x14ac:dyDescent="0.3">
      <c r="A1" s="1" t="s">
        <v>0</v>
      </c>
      <c r="E1" s="2"/>
      <c r="H1" s="3"/>
      <c r="J1" s="4"/>
      <c r="K1" s="4"/>
      <c r="L1" s="5"/>
      <c r="M1" s="6"/>
      <c r="N1" s="7"/>
      <c r="O1" s="8"/>
      <c r="R1" s="8"/>
      <c r="S1" s="9"/>
      <c r="T1" s="10"/>
    </row>
    <row r="2" spans="1:22" s="1" customFormat="1" ht="13.5" x14ac:dyDescent="0.25">
      <c r="A2" s="1" t="s">
        <v>1</v>
      </c>
      <c r="E2" s="2"/>
      <c r="H2" s="3"/>
      <c r="L2" s="4"/>
      <c r="M2" s="6"/>
      <c r="N2" s="4"/>
      <c r="O2" s="8"/>
      <c r="R2" s="8"/>
      <c r="S2" s="9"/>
      <c r="T2" s="10"/>
    </row>
    <row r="3" spans="1:22" s="1" customFormat="1" ht="13.5" x14ac:dyDescent="0.25">
      <c r="A3" s="1" t="s">
        <v>2</v>
      </c>
      <c r="E3" s="2"/>
      <c r="H3" s="3"/>
      <c r="M3" s="8"/>
      <c r="O3" s="8"/>
      <c r="R3" s="8"/>
      <c r="S3" s="9"/>
      <c r="T3" s="10"/>
    </row>
    <row r="4" spans="1:22" s="11" customFormat="1" ht="14.25" x14ac:dyDescent="0.3">
      <c r="E4" s="12"/>
      <c r="H4" s="13"/>
      <c r="M4" s="14"/>
      <c r="O4" s="14"/>
      <c r="R4" s="14"/>
      <c r="S4" s="15"/>
      <c r="T4" s="16"/>
      <c r="V4" s="17"/>
    </row>
    <row r="5" spans="1:22" s="11" customFormat="1" ht="14.25" x14ac:dyDescent="0.3">
      <c r="A5" s="18" t="s">
        <v>3</v>
      </c>
      <c r="B5" s="18" t="s">
        <v>4</v>
      </c>
      <c r="C5" s="18" t="s">
        <v>5</v>
      </c>
      <c r="D5" s="19" t="s">
        <v>6</v>
      </c>
      <c r="E5" s="20" t="s">
        <v>7</v>
      </c>
      <c r="F5" s="21" t="s">
        <v>8</v>
      </c>
      <c r="G5" s="20" t="s">
        <v>9</v>
      </c>
      <c r="H5" s="20"/>
      <c r="I5" s="20" t="s">
        <v>10</v>
      </c>
      <c r="J5" s="18" t="s">
        <v>11</v>
      </c>
      <c r="K5" s="20" t="s">
        <v>12</v>
      </c>
      <c r="L5" s="22" t="s">
        <v>13</v>
      </c>
      <c r="M5" s="23" t="s">
        <v>14</v>
      </c>
      <c r="N5" s="18" t="s">
        <v>15</v>
      </c>
      <c r="O5" s="23" t="s">
        <v>16</v>
      </c>
      <c r="P5" s="18" t="s">
        <v>17</v>
      </c>
      <c r="Q5" s="18" t="s">
        <v>18</v>
      </c>
      <c r="R5" s="23" t="s">
        <v>19</v>
      </c>
      <c r="S5" s="24" t="s">
        <v>20</v>
      </c>
      <c r="T5" s="18" t="s">
        <v>21</v>
      </c>
      <c r="U5" s="17"/>
    </row>
    <row r="6" spans="1:22" s="11" customFormat="1" ht="14.25" x14ac:dyDescent="0.3">
      <c r="A6" s="25"/>
      <c r="B6" s="25"/>
      <c r="C6" s="26"/>
      <c r="D6" s="27"/>
      <c r="E6" s="18"/>
      <c r="F6" s="23"/>
      <c r="G6" s="18" t="s">
        <v>22</v>
      </c>
      <c r="H6" s="23" t="s">
        <v>23</v>
      </c>
      <c r="I6" s="28"/>
      <c r="J6" s="26"/>
      <c r="K6" s="18"/>
      <c r="L6" s="29"/>
      <c r="M6" s="30"/>
      <c r="N6" s="26"/>
      <c r="O6" s="30"/>
      <c r="P6" s="26"/>
      <c r="Q6" s="26"/>
      <c r="R6" s="30" t="s">
        <v>68</v>
      </c>
      <c r="S6" s="31"/>
      <c r="T6" s="26"/>
      <c r="U6" s="17"/>
    </row>
    <row r="7" spans="1:22" s="11" customFormat="1" ht="14.25" x14ac:dyDescent="0.3">
      <c r="A7" s="34">
        <v>1</v>
      </c>
      <c r="B7" s="35" t="s">
        <v>24</v>
      </c>
      <c r="C7" s="33" t="s">
        <v>25</v>
      </c>
      <c r="D7" s="17">
        <v>5721057861</v>
      </c>
      <c r="E7" s="17">
        <v>27</v>
      </c>
      <c r="F7" s="36">
        <v>25000</v>
      </c>
      <c r="G7" s="5">
        <v>533</v>
      </c>
      <c r="H7" s="37">
        <v>3000</v>
      </c>
      <c r="I7" s="38">
        <v>1600000</v>
      </c>
      <c r="J7" s="38">
        <v>200000</v>
      </c>
      <c r="K7" s="5">
        <f>F7*E7</f>
        <v>675000</v>
      </c>
      <c r="L7" s="5">
        <v>200000</v>
      </c>
      <c r="M7" s="36">
        <v>200000</v>
      </c>
      <c r="N7" s="38">
        <f>H7*G7</f>
        <v>1599000</v>
      </c>
      <c r="O7" s="37">
        <f>16*25000</f>
        <v>400000</v>
      </c>
      <c r="P7" s="5">
        <f>I7+J7+K7+L7+M7+N7+O7</f>
        <v>4874000</v>
      </c>
      <c r="Q7" s="38">
        <v>0</v>
      </c>
      <c r="R7" s="37">
        <f>4*25000</f>
        <v>100000</v>
      </c>
      <c r="S7" s="39">
        <v>48770</v>
      </c>
      <c r="T7" s="5">
        <f>P7-Q7-R7-S7</f>
        <v>4725230</v>
      </c>
    </row>
    <row r="8" spans="1:22" s="11" customFormat="1" ht="14.25" x14ac:dyDescent="0.3">
      <c r="A8" s="32">
        <v>2</v>
      </c>
      <c r="B8" s="35" t="s">
        <v>26</v>
      </c>
      <c r="C8" s="33" t="s">
        <v>27</v>
      </c>
      <c r="D8" s="17">
        <v>6042475919</v>
      </c>
      <c r="E8" s="17">
        <v>27</v>
      </c>
      <c r="F8" s="36">
        <v>25000</v>
      </c>
      <c r="G8" s="5">
        <v>533</v>
      </c>
      <c r="H8" s="37">
        <v>3000</v>
      </c>
      <c r="I8" s="38">
        <v>1400000</v>
      </c>
      <c r="J8" s="38">
        <v>200000</v>
      </c>
      <c r="K8" s="5">
        <f t="shared" ref="K8:K21" si="0">F8*E8</f>
        <v>675000</v>
      </c>
      <c r="L8" s="5">
        <v>200000</v>
      </c>
      <c r="M8" s="36">
        <v>200000</v>
      </c>
      <c r="N8" s="38">
        <f t="shared" ref="N8:N12" si="1">H8*G8</f>
        <v>1599000</v>
      </c>
      <c r="O8" s="36">
        <f>20*25000</f>
        <v>500000</v>
      </c>
      <c r="P8" s="5">
        <f t="shared" ref="P8:P21" si="2">I8+J8+K8+L8+M8+N8+O8</f>
        <v>4774000</v>
      </c>
      <c r="Q8" s="38">
        <v>0</v>
      </c>
      <c r="R8" s="37">
        <f>2*25000</f>
        <v>50000</v>
      </c>
      <c r="S8" s="39">
        <v>48770</v>
      </c>
      <c r="T8" s="5">
        <f t="shared" ref="T8:T21" si="3">P8-Q8-R8-S8</f>
        <v>4675230</v>
      </c>
    </row>
    <row r="9" spans="1:22" s="11" customFormat="1" ht="14.25" x14ac:dyDescent="0.3">
      <c r="A9" s="34">
        <v>3</v>
      </c>
      <c r="B9" s="35" t="s">
        <v>28</v>
      </c>
      <c r="C9" s="33" t="s">
        <v>29</v>
      </c>
      <c r="D9" s="17">
        <v>6830768333</v>
      </c>
      <c r="E9" s="17">
        <v>27</v>
      </c>
      <c r="F9" s="36">
        <v>25000</v>
      </c>
      <c r="G9" s="5">
        <v>533</v>
      </c>
      <c r="H9" s="37">
        <v>1500</v>
      </c>
      <c r="I9" s="38">
        <v>1400000</v>
      </c>
      <c r="J9" s="38">
        <v>200000</v>
      </c>
      <c r="K9" s="5">
        <f t="shared" si="0"/>
        <v>675000</v>
      </c>
      <c r="L9" s="5">
        <v>200000</v>
      </c>
      <c r="M9" s="36">
        <v>0</v>
      </c>
      <c r="N9" s="38">
        <f t="shared" si="1"/>
        <v>799500</v>
      </c>
      <c r="O9" s="37">
        <f>18*25000</f>
        <v>450000</v>
      </c>
      <c r="P9" s="5">
        <f t="shared" si="2"/>
        <v>3724500</v>
      </c>
      <c r="Q9" s="38">
        <v>0</v>
      </c>
      <c r="R9" s="37">
        <f>3*25000</f>
        <v>75000</v>
      </c>
      <c r="S9" s="39">
        <v>48770</v>
      </c>
      <c r="T9" s="5">
        <f t="shared" si="3"/>
        <v>3600730</v>
      </c>
    </row>
    <row r="10" spans="1:22" s="11" customFormat="1" ht="14.25" x14ac:dyDescent="0.3">
      <c r="A10" s="32">
        <v>4</v>
      </c>
      <c r="B10" s="35" t="s">
        <v>30</v>
      </c>
      <c r="C10" s="33" t="s">
        <v>31</v>
      </c>
      <c r="D10" s="17">
        <v>1672441727</v>
      </c>
      <c r="E10" s="17">
        <v>27</v>
      </c>
      <c r="F10" s="36">
        <v>25000</v>
      </c>
      <c r="G10" s="5">
        <v>533</v>
      </c>
      <c r="H10" s="37">
        <v>1500</v>
      </c>
      <c r="I10" s="38">
        <v>1300000</v>
      </c>
      <c r="J10" s="38">
        <v>200000</v>
      </c>
      <c r="K10" s="5">
        <f t="shared" si="0"/>
        <v>675000</v>
      </c>
      <c r="L10" s="5"/>
      <c r="M10" s="36"/>
      <c r="N10" s="38">
        <f t="shared" si="1"/>
        <v>799500</v>
      </c>
      <c r="O10" s="36"/>
      <c r="P10" s="5">
        <f t="shared" si="2"/>
        <v>2974500</v>
      </c>
      <c r="Q10" s="38">
        <v>0</v>
      </c>
      <c r="R10" s="37">
        <v>0</v>
      </c>
      <c r="S10" s="39">
        <v>48770</v>
      </c>
      <c r="T10" s="5">
        <f t="shared" si="3"/>
        <v>2925730</v>
      </c>
    </row>
    <row r="11" spans="1:22" s="11" customFormat="1" ht="14.25" x14ac:dyDescent="0.3">
      <c r="A11" s="34">
        <v>5</v>
      </c>
      <c r="B11" s="35" t="s">
        <v>32</v>
      </c>
      <c r="C11" s="33" t="s">
        <v>33</v>
      </c>
      <c r="D11" s="17">
        <v>6831100874</v>
      </c>
      <c r="E11" s="17">
        <v>26</v>
      </c>
      <c r="F11" s="36">
        <v>25000</v>
      </c>
      <c r="G11" s="5">
        <v>533</v>
      </c>
      <c r="H11" s="37">
        <v>2000</v>
      </c>
      <c r="I11" s="38">
        <v>1200000</v>
      </c>
      <c r="J11" s="38">
        <v>200000</v>
      </c>
      <c r="K11" s="5">
        <f t="shared" si="0"/>
        <v>650000</v>
      </c>
      <c r="L11" s="5"/>
      <c r="M11" s="36"/>
      <c r="N11" s="38">
        <f t="shared" si="1"/>
        <v>1066000</v>
      </c>
      <c r="O11" s="37">
        <f>17*25000</f>
        <v>425000</v>
      </c>
      <c r="P11" s="5">
        <f>I11+J11+K11+L11+M11+N11+O11</f>
        <v>3541000</v>
      </c>
      <c r="Q11" s="38"/>
      <c r="R11" s="37">
        <v>25000</v>
      </c>
      <c r="S11" s="39">
        <v>48770</v>
      </c>
      <c r="T11" s="5">
        <f t="shared" si="3"/>
        <v>3467230</v>
      </c>
    </row>
    <row r="12" spans="1:22" s="11" customFormat="1" ht="14.25" x14ac:dyDescent="0.3">
      <c r="A12" s="32">
        <v>6</v>
      </c>
      <c r="B12" s="35" t="s">
        <v>34</v>
      </c>
      <c r="C12" s="33" t="s">
        <v>35</v>
      </c>
      <c r="D12" s="17">
        <v>6831079484</v>
      </c>
      <c r="E12" s="17">
        <v>27</v>
      </c>
      <c r="F12" s="36">
        <v>25000</v>
      </c>
      <c r="G12" s="5">
        <v>533</v>
      </c>
      <c r="H12" s="37">
        <v>2000</v>
      </c>
      <c r="I12" s="38">
        <v>1000000</v>
      </c>
      <c r="J12" s="38">
        <v>200000</v>
      </c>
      <c r="K12" s="5">
        <f t="shared" si="0"/>
        <v>675000</v>
      </c>
      <c r="L12" s="5"/>
      <c r="M12" s="36"/>
      <c r="N12" s="38">
        <f t="shared" si="1"/>
        <v>1066000</v>
      </c>
      <c r="O12" s="37">
        <f>5*25000</f>
        <v>125000</v>
      </c>
      <c r="P12" s="5">
        <f>I12+J12+K12+L12+M12+N12+O12</f>
        <v>3066000</v>
      </c>
      <c r="Q12" s="38"/>
      <c r="R12" s="37">
        <f>4*25000</f>
        <v>100000</v>
      </c>
      <c r="S12" s="40">
        <v>48770</v>
      </c>
      <c r="T12" s="5">
        <f t="shared" si="3"/>
        <v>2917230</v>
      </c>
    </row>
    <row r="13" spans="1:22" s="11" customFormat="1" ht="14.25" x14ac:dyDescent="0.3">
      <c r="A13" s="34">
        <v>7</v>
      </c>
      <c r="B13" s="35" t="s">
        <v>36</v>
      </c>
      <c r="C13" s="33" t="s">
        <v>67</v>
      </c>
      <c r="D13" s="17">
        <v>5721797016</v>
      </c>
      <c r="E13" s="17">
        <v>21</v>
      </c>
      <c r="F13" s="36">
        <v>85000</v>
      </c>
      <c r="G13" s="5"/>
      <c r="H13" s="37"/>
      <c r="I13" s="38"/>
      <c r="J13" s="38"/>
      <c r="K13" s="5">
        <f t="shared" si="0"/>
        <v>1785000</v>
      </c>
      <c r="L13" s="5"/>
      <c r="M13" s="36"/>
      <c r="N13" s="38"/>
      <c r="O13" s="37"/>
      <c r="P13" s="5">
        <f>I13+J13+K13+L13+M13+N13+O13</f>
        <v>1785000</v>
      </c>
      <c r="Q13" s="38"/>
      <c r="R13" s="37"/>
      <c r="S13" s="40"/>
      <c r="T13" s="5">
        <f t="shared" si="3"/>
        <v>1785000</v>
      </c>
    </row>
    <row r="14" spans="1:22" s="11" customFormat="1" ht="14.25" x14ac:dyDescent="0.3">
      <c r="A14" s="32">
        <v>8</v>
      </c>
      <c r="B14" s="35" t="s">
        <v>37</v>
      </c>
      <c r="C14" s="33" t="s">
        <v>38</v>
      </c>
      <c r="D14" s="41">
        <v>5720994927</v>
      </c>
      <c r="E14" s="17">
        <v>25</v>
      </c>
      <c r="F14" s="36">
        <v>20000</v>
      </c>
      <c r="G14" s="5">
        <v>533</v>
      </c>
      <c r="H14" s="37">
        <v>2000</v>
      </c>
      <c r="I14" s="38">
        <v>1400000</v>
      </c>
      <c r="J14" s="38">
        <v>200000</v>
      </c>
      <c r="K14" s="5">
        <f t="shared" si="0"/>
        <v>500000</v>
      </c>
      <c r="L14" s="5"/>
      <c r="M14" s="36"/>
      <c r="N14" s="38">
        <f>H14*G14</f>
        <v>1066000</v>
      </c>
      <c r="O14" s="37">
        <v>0</v>
      </c>
      <c r="P14" s="5">
        <f t="shared" si="2"/>
        <v>3166000</v>
      </c>
      <c r="Q14" s="38">
        <v>0</v>
      </c>
      <c r="R14" s="37">
        <f>8*20000</f>
        <v>160000</v>
      </c>
      <c r="S14" s="42">
        <v>48770</v>
      </c>
      <c r="T14" s="5">
        <f t="shared" si="3"/>
        <v>2957230</v>
      </c>
    </row>
    <row r="15" spans="1:22" s="11" customFormat="1" ht="14.25" x14ac:dyDescent="0.3">
      <c r="A15" s="34">
        <v>9</v>
      </c>
      <c r="B15" s="35" t="s">
        <v>39</v>
      </c>
      <c r="C15" s="33" t="s">
        <v>40</v>
      </c>
      <c r="D15" s="17">
        <v>5721469540</v>
      </c>
      <c r="E15" s="17">
        <v>27</v>
      </c>
      <c r="F15" s="36">
        <v>20000</v>
      </c>
      <c r="G15" s="5">
        <v>533</v>
      </c>
      <c r="H15" s="37">
        <v>1000</v>
      </c>
      <c r="I15" s="38">
        <v>1100000</v>
      </c>
      <c r="J15" s="38">
        <v>200000</v>
      </c>
      <c r="K15" s="5">
        <f t="shared" si="0"/>
        <v>540000</v>
      </c>
      <c r="L15" s="5">
        <v>0</v>
      </c>
      <c r="M15" s="36">
        <v>0</v>
      </c>
      <c r="N15" s="38">
        <f>H15*G15</f>
        <v>533000</v>
      </c>
      <c r="O15" s="37">
        <v>0</v>
      </c>
      <c r="P15" s="5">
        <f t="shared" si="2"/>
        <v>2373000</v>
      </c>
      <c r="Q15" s="38">
        <v>500000</v>
      </c>
      <c r="R15" s="37">
        <v>0</v>
      </c>
      <c r="S15" s="42">
        <v>48770</v>
      </c>
      <c r="T15" s="5">
        <f t="shared" si="3"/>
        <v>1824230</v>
      </c>
    </row>
    <row r="16" spans="1:22" s="11" customFormat="1" ht="16.5" customHeight="1" x14ac:dyDescent="0.3">
      <c r="A16" s="32">
        <v>10</v>
      </c>
      <c r="B16" s="35" t="s">
        <v>41</v>
      </c>
      <c r="C16" s="33" t="s">
        <v>42</v>
      </c>
      <c r="D16" s="41">
        <v>5721797024</v>
      </c>
      <c r="E16" s="17">
        <v>27</v>
      </c>
      <c r="F16" s="36">
        <v>25000</v>
      </c>
      <c r="G16" s="5"/>
      <c r="H16" s="37"/>
      <c r="I16" s="38">
        <v>1000000</v>
      </c>
      <c r="J16" s="38"/>
      <c r="K16" s="5">
        <f t="shared" si="0"/>
        <v>675000</v>
      </c>
      <c r="L16" s="5"/>
      <c r="M16" s="36"/>
      <c r="N16" s="38"/>
      <c r="O16" s="37">
        <v>0</v>
      </c>
      <c r="P16" s="5">
        <f t="shared" si="2"/>
        <v>1675000</v>
      </c>
      <c r="Q16" s="38">
        <v>200000</v>
      </c>
      <c r="R16" s="37">
        <v>0</v>
      </c>
      <c r="S16" s="43"/>
      <c r="T16" s="5">
        <f t="shared" si="3"/>
        <v>1475000</v>
      </c>
    </row>
    <row r="17" spans="1:21" s="11" customFormat="1" ht="16.5" customHeight="1" x14ac:dyDescent="0.3">
      <c r="A17" s="34">
        <v>11</v>
      </c>
      <c r="B17" s="35" t="s">
        <v>43</v>
      </c>
      <c r="C17" s="33" t="s">
        <v>42</v>
      </c>
      <c r="D17" s="41">
        <v>5721794793</v>
      </c>
      <c r="E17" s="17">
        <v>27</v>
      </c>
      <c r="F17" s="36">
        <v>25000</v>
      </c>
      <c r="G17" s="5"/>
      <c r="H17" s="37"/>
      <c r="I17" s="38">
        <v>1000000</v>
      </c>
      <c r="J17" s="38"/>
      <c r="K17" s="5">
        <f t="shared" si="0"/>
        <v>675000</v>
      </c>
      <c r="L17" s="5"/>
      <c r="M17" s="36"/>
      <c r="N17" s="38"/>
      <c r="O17" s="37"/>
      <c r="P17" s="5">
        <f t="shared" si="2"/>
        <v>1675000</v>
      </c>
      <c r="Q17" s="38">
        <v>500000</v>
      </c>
      <c r="R17" s="37"/>
      <c r="S17" s="43"/>
      <c r="T17" s="5">
        <f t="shared" si="3"/>
        <v>1175000</v>
      </c>
    </row>
    <row r="18" spans="1:21" s="11" customFormat="1" ht="14.25" x14ac:dyDescent="0.3">
      <c r="A18" s="32">
        <v>12</v>
      </c>
      <c r="B18" s="35" t="s">
        <v>44</v>
      </c>
      <c r="C18" s="33" t="s">
        <v>45</v>
      </c>
      <c r="D18" s="41">
        <v>7006674622</v>
      </c>
      <c r="E18" s="17">
        <v>27</v>
      </c>
      <c r="F18" s="36"/>
      <c r="G18" s="5"/>
      <c r="H18" s="37"/>
      <c r="I18" s="38">
        <v>1000000</v>
      </c>
      <c r="J18" s="38"/>
      <c r="K18" s="5"/>
      <c r="L18" s="5"/>
      <c r="M18" s="36"/>
      <c r="N18" s="38"/>
      <c r="O18" s="37"/>
      <c r="P18" s="5">
        <v>1000000</v>
      </c>
      <c r="Q18" s="38"/>
      <c r="R18" s="37"/>
      <c r="S18" s="43"/>
      <c r="T18" s="5">
        <f t="shared" si="3"/>
        <v>1000000</v>
      </c>
    </row>
    <row r="19" spans="1:21" s="11" customFormat="1" ht="14.25" x14ac:dyDescent="0.3">
      <c r="A19" s="34">
        <v>13</v>
      </c>
      <c r="B19" s="35" t="s">
        <v>46</v>
      </c>
      <c r="C19" s="33" t="s">
        <v>47</v>
      </c>
      <c r="D19" s="44" t="s">
        <v>48</v>
      </c>
      <c r="E19" s="17">
        <v>27</v>
      </c>
      <c r="F19" s="36">
        <v>0</v>
      </c>
      <c r="G19" s="38"/>
      <c r="H19" s="37">
        <v>0</v>
      </c>
      <c r="I19" s="38">
        <v>1750000</v>
      </c>
      <c r="J19" s="38">
        <v>0</v>
      </c>
      <c r="K19" s="5">
        <f t="shared" si="0"/>
        <v>0</v>
      </c>
      <c r="L19" s="5">
        <v>0</v>
      </c>
      <c r="M19" s="36">
        <v>200000</v>
      </c>
      <c r="N19" s="38">
        <v>0</v>
      </c>
      <c r="O19" s="37"/>
      <c r="P19" s="5">
        <f t="shared" si="2"/>
        <v>1950000</v>
      </c>
      <c r="Q19" s="38">
        <v>0</v>
      </c>
      <c r="R19" s="37"/>
      <c r="S19" s="40">
        <v>0</v>
      </c>
      <c r="T19" s="5">
        <f t="shared" si="3"/>
        <v>1950000</v>
      </c>
    </row>
    <row r="20" spans="1:21" s="11" customFormat="1" ht="14.25" x14ac:dyDescent="0.3">
      <c r="A20" s="32">
        <v>14</v>
      </c>
      <c r="B20" s="35" t="s">
        <v>49</v>
      </c>
      <c r="C20" s="33" t="s">
        <v>47</v>
      </c>
      <c r="D20" s="41">
        <v>1671937860</v>
      </c>
      <c r="E20" s="17">
        <v>27</v>
      </c>
      <c r="F20" s="36">
        <v>0</v>
      </c>
      <c r="G20" s="38"/>
      <c r="H20" s="37">
        <v>0</v>
      </c>
      <c r="I20" s="38">
        <v>1500000</v>
      </c>
      <c r="J20" s="38">
        <v>0</v>
      </c>
      <c r="K20" s="5">
        <f t="shared" si="0"/>
        <v>0</v>
      </c>
      <c r="L20" s="5">
        <v>0</v>
      </c>
      <c r="M20" s="36">
        <v>250000</v>
      </c>
      <c r="N20" s="38">
        <v>0</v>
      </c>
      <c r="O20" s="37"/>
      <c r="P20" s="5">
        <f t="shared" si="2"/>
        <v>1750000</v>
      </c>
      <c r="Q20" s="38">
        <v>0</v>
      </c>
      <c r="R20" s="37"/>
      <c r="S20" s="40">
        <v>0</v>
      </c>
      <c r="T20" s="5">
        <f t="shared" si="3"/>
        <v>1750000</v>
      </c>
    </row>
    <row r="21" spans="1:21" s="11" customFormat="1" ht="14.25" x14ac:dyDescent="0.3">
      <c r="A21" s="34">
        <v>15</v>
      </c>
      <c r="B21" s="35" t="s">
        <v>50</v>
      </c>
      <c r="C21" s="33" t="s">
        <v>47</v>
      </c>
      <c r="D21" s="41">
        <v>1590753218</v>
      </c>
      <c r="E21" s="17">
        <v>27</v>
      </c>
      <c r="F21" s="36">
        <v>0</v>
      </c>
      <c r="G21" s="38"/>
      <c r="H21" s="37">
        <v>0</v>
      </c>
      <c r="I21" s="38">
        <v>3500000</v>
      </c>
      <c r="J21" s="38">
        <v>0</v>
      </c>
      <c r="K21" s="5">
        <f t="shared" si="0"/>
        <v>0</v>
      </c>
      <c r="L21" s="5">
        <v>0</v>
      </c>
      <c r="M21" s="36">
        <v>0</v>
      </c>
      <c r="N21" s="38"/>
      <c r="O21" s="37"/>
      <c r="P21" s="5">
        <f t="shared" si="2"/>
        <v>3500000</v>
      </c>
      <c r="Q21" s="38">
        <v>200000</v>
      </c>
      <c r="R21" s="37"/>
      <c r="S21" s="40">
        <v>0</v>
      </c>
      <c r="T21" s="5">
        <f t="shared" si="3"/>
        <v>3300000</v>
      </c>
      <c r="U21" s="5"/>
    </row>
    <row r="22" spans="1:21" s="11" customFormat="1" ht="14.25" x14ac:dyDescent="0.3">
      <c r="E22" s="41"/>
      <c r="F22" s="5"/>
      <c r="G22" s="5"/>
      <c r="H22" s="36"/>
      <c r="I22" s="5"/>
      <c r="J22" s="5"/>
      <c r="K22" s="5"/>
      <c r="L22" s="5"/>
      <c r="M22" s="36"/>
      <c r="N22" s="5"/>
      <c r="O22" s="36"/>
      <c r="P22" s="5"/>
      <c r="Q22" s="5"/>
      <c r="R22" s="36"/>
      <c r="S22" s="45"/>
      <c r="U22" s="46"/>
    </row>
    <row r="23" spans="1:21" s="11" customFormat="1" ht="14.25" x14ac:dyDescent="0.3">
      <c r="E23" s="41"/>
      <c r="F23" s="5"/>
      <c r="G23" s="5"/>
      <c r="H23" s="36"/>
      <c r="I23" s="5"/>
      <c r="J23" s="5"/>
      <c r="K23" s="5"/>
      <c r="L23" s="5"/>
      <c r="M23" s="36"/>
      <c r="N23" s="5"/>
      <c r="O23" s="36"/>
      <c r="P23" s="5"/>
      <c r="Q23" s="5"/>
      <c r="R23" s="36"/>
      <c r="S23" s="45"/>
      <c r="U23" s="46"/>
    </row>
    <row r="24" spans="1:21" s="11" customFormat="1" ht="14.25" x14ac:dyDescent="0.3">
      <c r="A24" s="17"/>
      <c r="B24" s="33"/>
      <c r="C24" s="33"/>
      <c r="D24" s="17"/>
      <c r="E24" s="17"/>
      <c r="F24" s="36"/>
      <c r="G24" s="5"/>
      <c r="H24" s="37"/>
      <c r="I24" s="38"/>
      <c r="J24" s="38"/>
      <c r="K24" s="5"/>
      <c r="L24" s="5"/>
      <c r="M24" s="36"/>
      <c r="N24" s="38"/>
      <c r="O24" s="38"/>
      <c r="P24" s="5"/>
      <c r="Q24" s="38"/>
      <c r="R24" s="36"/>
      <c r="S24" s="37"/>
      <c r="T24" s="5">
        <f t="shared" ref="T24:T31" si="4">P24-Q24-R24-S24</f>
        <v>0</v>
      </c>
      <c r="U24" s="5"/>
    </row>
    <row r="25" spans="1:21" s="56" customFormat="1" ht="14.25" x14ac:dyDescent="0.3">
      <c r="A25" s="48">
        <v>1</v>
      </c>
      <c r="B25" s="49" t="s">
        <v>51</v>
      </c>
      <c r="C25" s="50" t="s">
        <v>52</v>
      </c>
      <c r="D25" s="51">
        <v>7475100204</v>
      </c>
      <c r="E25" s="51">
        <v>25</v>
      </c>
      <c r="F25" s="52">
        <v>40000</v>
      </c>
      <c r="G25" s="5">
        <v>131</v>
      </c>
      <c r="H25" s="53">
        <v>3500</v>
      </c>
      <c r="I25" s="54">
        <v>850000</v>
      </c>
      <c r="J25" s="54">
        <v>200000</v>
      </c>
      <c r="K25" s="55">
        <f>F25*E25</f>
        <v>1000000</v>
      </c>
      <c r="L25" s="55">
        <v>0</v>
      </c>
      <c r="M25" s="52">
        <v>0</v>
      </c>
      <c r="N25" s="54">
        <f>G25*H25+G26*H26</f>
        <v>498500</v>
      </c>
      <c r="O25" s="53"/>
      <c r="P25" s="55">
        <f>I25+J25+K25+L25+M25+N25+O25</f>
        <v>2548500</v>
      </c>
      <c r="Q25" s="54">
        <v>0</v>
      </c>
      <c r="R25" s="52">
        <v>0</v>
      </c>
      <c r="S25" s="42">
        <v>48770</v>
      </c>
      <c r="T25" s="5">
        <f t="shared" si="4"/>
        <v>2499730</v>
      </c>
    </row>
    <row r="26" spans="1:21" s="56" customFormat="1" ht="14.25" x14ac:dyDescent="0.3">
      <c r="A26" s="48"/>
      <c r="B26" s="49"/>
      <c r="C26" s="50"/>
      <c r="D26" s="51"/>
      <c r="E26" s="51"/>
      <c r="F26" s="52"/>
      <c r="G26" s="5">
        <v>8</v>
      </c>
      <c r="H26" s="53">
        <v>5000</v>
      </c>
      <c r="I26" s="54"/>
      <c r="J26" s="54"/>
      <c r="K26" s="55"/>
      <c r="L26" s="55"/>
      <c r="M26" s="52"/>
      <c r="N26" s="54"/>
      <c r="O26" s="53"/>
      <c r="P26" s="55"/>
      <c r="Q26" s="54"/>
      <c r="R26" s="52"/>
      <c r="S26" s="42"/>
      <c r="T26" s="5">
        <f t="shared" si="4"/>
        <v>0</v>
      </c>
    </row>
    <row r="27" spans="1:21" s="11" customFormat="1" ht="14.25" x14ac:dyDescent="0.3">
      <c r="A27" s="34">
        <v>2</v>
      </c>
      <c r="B27" s="35" t="s">
        <v>53</v>
      </c>
      <c r="C27" s="33" t="s">
        <v>52</v>
      </c>
      <c r="D27" s="17">
        <v>7380390072</v>
      </c>
      <c r="E27" s="17">
        <v>27</v>
      </c>
      <c r="F27" s="36">
        <v>40000</v>
      </c>
      <c r="G27" s="5">
        <v>142</v>
      </c>
      <c r="H27" s="37">
        <v>3500</v>
      </c>
      <c r="I27" s="38">
        <v>850000</v>
      </c>
      <c r="J27" s="38">
        <v>200000</v>
      </c>
      <c r="K27" s="5">
        <f>F27*E27</f>
        <v>1080000</v>
      </c>
      <c r="L27" s="5"/>
      <c r="M27" s="36"/>
      <c r="N27" s="38">
        <f>G27*H27+G28*H28</f>
        <v>522000</v>
      </c>
      <c r="O27" s="37"/>
      <c r="P27" s="5">
        <f>I27+J27+K27+L27+M27+N27+O27</f>
        <v>2652000</v>
      </c>
      <c r="Q27" s="38"/>
      <c r="R27" s="36">
        <v>0</v>
      </c>
      <c r="S27" s="40">
        <v>0</v>
      </c>
      <c r="T27" s="5">
        <f t="shared" si="4"/>
        <v>2652000</v>
      </c>
    </row>
    <row r="28" spans="1:21" s="11" customFormat="1" ht="14.25" x14ac:dyDescent="0.3">
      <c r="A28" s="34"/>
      <c r="B28" s="35"/>
      <c r="C28" s="33"/>
      <c r="D28" s="17"/>
      <c r="E28" s="17"/>
      <c r="F28" s="36"/>
      <c r="G28" s="5">
        <v>5</v>
      </c>
      <c r="H28" s="37">
        <v>5000</v>
      </c>
      <c r="I28" s="38"/>
      <c r="J28" s="38"/>
      <c r="K28" s="5"/>
      <c r="L28" s="5"/>
      <c r="M28" s="36"/>
      <c r="N28" s="38"/>
      <c r="O28" s="37"/>
      <c r="P28" s="5"/>
      <c r="Q28" s="38"/>
      <c r="R28" s="36"/>
      <c r="S28" s="40"/>
      <c r="T28" s="5">
        <f t="shared" si="4"/>
        <v>0</v>
      </c>
    </row>
    <row r="29" spans="1:21" s="11" customFormat="1" ht="14.25" x14ac:dyDescent="0.3">
      <c r="A29" s="34">
        <v>3</v>
      </c>
      <c r="B29" s="35" t="s">
        <v>54</v>
      </c>
      <c r="C29" s="33" t="s">
        <v>52</v>
      </c>
      <c r="D29" s="17">
        <v>5721758291</v>
      </c>
      <c r="E29" s="17">
        <v>27</v>
      </c>
      <c r="F29" s="36">
        <v>40000</v>
      </c>
      <c r="G29" s="5">
        <v>130</v>
      </c>
      <c r="H29" s="37">
        <v>3500</v>
      </c>
      <c r="I29" s="38">
        <v>850000</v>
      </c>
      <c r="J29" s="38">
        <v>200000</v>
      </c>
      <c r="K29" s="5">
        <f>F29*E29</f>
        <v>1080000</v>
      </c>
      <c r="L29" s="5"/>
      <c r="M29" s="36"/>
      <c r="N29" s="38">
        <f>G29*H29+G30*H30</f>
        <v>480000</v>
      </c>
      <c r="O29" s="37"/>
      <c r="P29" s="5">
        <f>I29+J29+K29+L29+M29+N29+O29</f>
        <v>2610000</v>
      </c>
      <c r="Q29" s="38"/>
      <c r="R29" s="36">
        <v>0</v>
      </c>
      <c r="S29" s="40"/>
      <c r="T29" s="5">
        <f t="shared" si="4"/>
        <v>2610000</v>
      </c>
    </row>
    <row r="30" spans="1:21" s="11" customFormat="1" ht="14.25" x14ac:dyDescent="0.3">
      <c r="A30" s="34"/>
      <c r="B30" s="35"/>
      <c r="C30" s="33"/>
      <c r="D30" s="17"/>
      <c r="E30" s="17"/>
      <c r="F30" s="36"/>
      <c r="G30" s="5">
        <v>5</v>
      </c>
      <c r="H30" s="37">
        <v>5000</v>
      </c>
      <c r="I30" s="38"/>
      <c r="J30" s="38"/>
      <c r="K30" s="5">
        <f t="shared" ref="K30:K32" si="5">F30*E30</f>
        <v>0</v>
      </c>
      <c r="L30" s="5"/>
      <c r="M30" s="36"/>
      <c r="N30" s="38"/>
      <c r="O30" s="37"/>
      <c r="P30" s="5">
        <f t="shared" ref="P30:P31" si="6">I30+J30+K30+L30+M30+N30+O30</f>
        <v>0</v>
      </c>
      <c r="Q30" s="38"/>
      <c r="R30" s="36"/>
      <c r="S30" s="40"/>
      <c r="T30" s="5">
        <f t="shared" si="4"/>
        <v>0</v>
      </c>
    </row>
    <row r="31" spans="1:21" s="11" customFormat="1" ht="14.25" x14ac:dyDescent="0.3">
      <c r="A31" s="34">
        <v>4</v>
      </c>
      <c r="B31" s="35" t="s">
        <v>55</v>
      </c>
      <c r="C31" s="33" t="s">
        <v>52</v>
      </c>
      <c r="D31" s="57" t="s">
        <v>56</v>
      </c>
      <c r="E31" s="17">
        <v>27</v>
      </c>
      <c r="F31" s="36">
        <v>40000</v>
      </c>
      <c r="G31" s="5">
        <v>125</v>
      </c>
      <c r="H31" s="37">
        <v>3500</v>
      </c>
      <c r="I31" s="38">
        <v>850000</v>
      </c>
      <c r="J31" s="38">
        <v>200000</v>
      </c>
      <c r="K31" s="5">
        <f t="shared" si="5"/>
        <v>1080000</v>
      </c>
      <c r="L31" s="5"/>
      <c r="M31" s="36"/>
      <c r="N31" s="38">
        <f>G31*H31+G32*H32</f>
        <v>482500</v>
      </c>
      <c r="O31" s="37"/>
      <c r="P31" s="5">
        <f t="shared" si="6"/>
        <v>2612500</v>
      </c>
      <c r="Q31" s="38"/>
      <c r="R31" s="36"/>
      <c r="S31" s="40"/>
      <c r="T31" s="5">
        <f t="shared" si="4"/>
        <v>2612500</v>
      </c>
    </row>
    <row r="32" spans="1:21" s="11" customFormat="1" ht="14.25" x14ac:dyDescent="0.3">
      <c r="A32" s="58"/>
      <c r="B32" s="59"/>
      <c r="E32" s="41"/>
      <c r="F32" s="5"/>
      <c r="G32" s="5">
        <v>9</v>
      </c>
      <c r="H32" s="36">
        <v>5000</v>
      </c>
      <c r="I32" s="5"/>
      <c r="J32" s="5"/>
      <c r="K32" s="5">
        <f t="shared" si="5"/>
        <v>0</v>
      </c>
      <c r="L32" s="5"/>
      <c r="M32" s="36"/>
      <c r="N32" s="5"/>
      <c r="O32" s="36"/>
      <c r="P32" s="5"/>
      <c r="Q32" s="5"/>
      <c r="R32" s="36"/>
      <c r="S32" s="45"/>
    </row>
    <row r="33" spans="1:22" s="11" customFormat="1" ht="14.25" x14ac:dyDescent="0.3">
      <c r="A33" s="17"/>
      <c r="B33" s="33"/>
      <c r="C33" s="33"/>
      <c r="D33" s="17"/>
      <c r="E33" s="17"/>
      <c r="F33" s="36"/>
      <c r="G33" s="5"/>
      <c r="H33" s="37"/>
      <c r="I33" s="38"/>
      <c r="J33" s="38"/>
      <c r="K33" s="5"/>
      <c r="L33" s="5"/>
      <c r="M33" s="36"/>
      <c r="N33" s="38">
        <f>H33*G33</f>
        <v>0</v>
      </c>
      <c r="O33" s="37"/>
      <c r="P33" s="38"/>
      <c r="Q33" s="5"/>
      <c r="R33" s="37"/>
      <c r="S33" s="40"/>
      <c r="T33" s="60"/>
      <c r="U33" s="46"/>
    </row>
    <row r="34" spans="1:22" s="1" customFormat="1" ht="13.5" x14ac:dyDescent="0.25">
      <c r="E34" s="61"/>
      <c r="F34" s="4"/>
      <c r="G34" s="4"/>
      <c r="H34" s="62"/>
      <c r="I34" s="4"/>
      <c r="J34" s="4"/>
      <c r="K34" s="4"/>
      <c r="L34" s="4"/>
      <c r="M34" s="62"/>
      <c r="N34" s="4"/>
      <c r="O34" s="62"/>
      <c r="P34" s="4">
        <f>SUM(P7:P32)</f>
        <v>52251000</v>
      </c>
      <c r="Q34" s="4">
        <f>SUM(Q7:Q32)</f>
        <v>1400000</v>
      </c>
      <c r="R34" s="62">
        <f>SUM(R7:R32)</f>
        <v>510000</v>
      </c>
      <c r="S34" s="63">
        <f>SUM(S7:S31)</f>
        <v>438930</v>
      </c>
      <c r="T34" s="1">
        <f>SUM(T7:T32)</f>
        <v>49902070</v>
      </c>
      <c r="U34" s="64"/>
    </row>
    <row r="35" spans="1:22" s="11" customFormat="1" ht="14.25" x14ac:dyDescent="0.3">
      <c r="E35" s="41"/>
      <c r="F35" s="5"/>
      <c r="G35" s="5"/>
      <c r="H35" s="36"/>
      <c r="I35" s="5"/>
      <c r="J35" s="5"/>
      <c r="K35" s="5"/>
      <c r="L35" s="5"/>
      <c r="M35" s="36"/>
      <c r="N35" s="5"/>
      <c r="O35" s="36"/>
      <c r="P35" s="5"/>
      <c r="Q35" s="5"/>
      <c r="R35" s="36"/>
      <c r="S35" s="45"/>
      <c r="T35" s="1"/>
      <c r="U35" s="1"/>
      <c r="V35" s="64"/>
    </row>
    <row r="36" spans="1:22" s="11" customFormat="1" ht="14.25" x14ac:dyDescent="0.3">
      <c r="A36" s="65" t="s">
        <v>57</v>
      </c>
      <c r="C36" s="17"/>
      <c r="E36" s="41"/>
      <c r="F36" s="5"/>
      <c r="G36" s="5"/>
      <c r="H36" s="36"/>
      <c r="I36" s="5"/>
      <c r="J36" s="5"/>
      <c r="K36" s="5"/>
      <c r="L36" s="5"/>
      <c r="M36" s="36"/>
      <c r="N36" s="5"/>
      <c r="O36" s="36"/>
      <c r="P36" s="5"/>
      <c r="Q36" s="5"/>
      <c r="R36" s="36"/>
      <c r="S36" s="45"/>
    </row>
    <row r="37" spans="1:22" s="11" customFormat="1" ht="14.25" x14ac:dyDescent="0.3">
      <c r="A37" s="11" t="s">
        <v>58</v>
      </c>
      <c r="C37" s="11" t="s">
        <v>59</v>
      </c>
      <c r="D37" s="41"/>
      <c r="E37" s="11" t="s">
        <v>60</v>
      </c>
      <c r="F37" s="5"/>
      <c r="G37" s="36"/>
      <c r="H37" s="5"/>
      <c r="I37" s="5"/>
      <c r="J37" s="5"/>
      <c r="K37" s="5"/>
      <c r="L37" s="36"/>
      <c r="M37" s="5"/>
      <c r="N37" s="36"/>
      <c r="O37" s="5"/>
      <c r="P37" s="5"/>
      <c r="Q37" s="5"/>
      <c r="R37" s="45"/>
      <c r="S37" s="5"/>
    </row>
    <row r="38" spans="1:22" s="11" customFormat="1" ht="14.25" x14ac:dyDescent="0.3">
      <c r="D38" s="41"/>
      <c r="F38" s="5"/>
      <c r="G38" s="36"/>
      <c r="H38" s="5"/>
      <c r="I38" s="5"/>
      <c r="J38" s="5"/>
      <c r="K38" s="5"/>
      <c r="L38" s="36"/>
      <c r="M38" s="5"/>
      <c r="N38" s="36"/>
      <c r="O38" s="5"/>
      <c r="P38" s="5"/>
      <c r="Q38" s="5"/>
      <c r="R38" s="45"/>
      <c r="S38" s="5"/>
    </row>
    <row r="39" spans="1:22" s="11" customFormat="1" ht="14.25" x14ac:dyDescent="0.3">
      <c r="D39" s="41"/>
      <c r="F39" s="5"/>
      <c r="G39" s="36"/>
      <c r="H39" s="5"/>
      <c r="I39" s="5"/>
      <c r="J39" s="5"/>
      <c r="K39" s="5"/>
      <c r="L39" s="36"/>
      <c r="M39" s="5"/>
      <c r="N39" s="36"/>
      <c r="O39" s="5"/>
      <c r="P39" s="5"/>
      <c r="Q39" s="5"/>
      <c r="R39" s="45"/>
      <c r="S39" s="5"/>
    </row>
    <row r="40" spans="1:22" s="11" customFormat="1" ht="14.25" x14ac:dyDescent="0.3">
      <c r="D40" s="41"/>
      <c r="F40" s="5"/>
      <c r="G40" s="36"/>
      <c r="H40" s="5"/>
      <c r="I40" s="5"/>
      <c r="J40" s="5"/>
      <c r="K40" s="5"/>
      <c r="L40" s="66"/>
      <c r="M40" s="5"/>
      <c r="N40" s="66"/>
      <c r="O40" s="5"/>
      <c r="P40" s="5"/>
      <c r="Q40" s="5"/>
      <c r="R40" s="45"/>
      <c r="S40" s="5"/>
    </row>
    <row r="41" spans="1:22" s="11" customFormat="1" ht="14.25" x14ac:dyDescent="0.3">
      <c r="D41" s="41"/>
      <c r="F41" s="5"/>
      <c r="G41" s="36"/>
      <c r="H41" s="5"/>
      <c r="I41" s="5"/>
      <c r="J41" s="5"/>
      <c r="K41" s="5"/>
      <c r="L41" s="66"/>
      <c r="M41" s="5"/>
      <c r="N41" s="66"/>
      <c r="O41" s="5"/>
      <c r="P41" s="5"/>
      <c r="Q41" s="5"/>
      <c r="R41" s="45"/>
      <c r="S41" s="5"/>
    </row>
    <row r="42" spans="1:22" s="11" customFormat="1" ht="14.25" x14ac:dyDescent="0.3">
      <c r="A42" s="33" t="s">
        <v>61</v>
      </c>
      <c r="B42" s="33"/>
      <c r="C42" s="11" t="s">
        <v>62</v>
      </c>
      <c r="D42" s="41"/>
      <c r="E42" s="11" t="s">
        <v>63</v>
      </c>
      <c r="F42" s="5"/>
      <c r="G42" s="36"/>
      <c r="H42" s="5"/>
      <c r="K42" s="5"/>
      <c r="L42" s="66"/>
      <c r="M42" s="5"/>
      <c r="N42" s="66"/>
      <c r="O42" s="5"/>
      <c r="P42" s="5"/>
      <c r="Q42" s="5"/>
      <c r="R42" s="45"/>
      <c r="S42" s="5"/>
    </row>
    <row r="43" spans="1:22" s="11" customFormat="1" ht="14.25" x14ac:dyDescent="0.3">
      <c r="A43" s="33"/>
      <c r="B43" s="33"/>
      <c r="D43" s="41"/>
      <c r="F43" s="5"/>
      <c r="G43" s="36"/>
      <c r="H43" s="5"/>
      <c r="K43" s="5"/>
      <c r="L43" s="66"/>
      <c r="M43" s="5"/>
      <c r="N43" s="66"/>
      <c r="O43" s="5"/>
      <c r="P43" s="5"/>
      <c r="Q43" s="5"/>
      <c r="R43" s="45"/>
      <c r="S43" s="5"/>
    </row>
    <row r="44" spans="1:22" s="11" customFormat="1" ht="14.25" x14ac:dyDescent="0.3">
      <c r="A44" s="33"/>
      <c r="B44" s="33"/>
      <c r="E44" s="41"/>
      <c r="F44" s="5"/>
      <c r="G44" s="5"/>
      <c r="H44" s="36"/>
      <c r="K44" s="5"/>
      <c r="L44" s="5"/>
      <c r="M44" s="66"/>
      <c r="N44" s="5"/>
      <c r="O44" s="66"/>
      <c r="P44" s="5"/>
      <c r="Q44" s="5"/>
      <c r="R44" s="66"/>
      <c r="S44" s="4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A8EA9-38B0-4D8E-92B7-3F9EF252A77B}">
  <dimension ref="A1:T30"/>
  <sheetViews>
    <sheetView tabSelected="1" workbookViewId="0">
      <selection activeCell="D12" sqref="D12"/>
    </sheetView>
  </sheetViews>
  <sheetFormatPr defaultRowHeight="15" x14ac:dyDescent="0.25"/>
  <cols>
    <col min="2" max="2" width="19.85546875" bestFit="1" customWidth="1"/>
    <col min="3" max="3" width="12.42578125" bestFit="1" customWidth="1"/>
    <col min="4" max="4" width="11.42578125" bestFit="1" customWidth="1"/>
    <col min="9" max="9" width="11.28515625" customWidth="1"/>
    <col min="10" max="10" width="12.7109375" customWidth="1"/>
    <col min="11" max="11" width="13.85546875" customWidth="1"/>
    <col min="12" max="12" width="12" customWidth="1"/>
    <col min="13" max="13" width="11" customWidth="1"/>
    <col min="14" max="14" width="11.5703125" customWidth="1"/>
    <col min="15" max="16" width="12.140625" customWidth="1"/>
    <col min="17" max="17" width="12" customWidth="1"/>
    <col min="18" max="18" width="16.42578125" customWidth="1"/>
  </cols>
  <sheetData>
    <row r="1" spans="1:20" s="68" customFormat="1" ht="14.25" x14ac:dyDescent="0.3">
      <c r="A1" s="71" t="s">
        <v>69</v>
      </c>
    </row>
    <row r="2" spans="1:20" s="68" customFormat="1" ht="14.25" x14ac:dyDescent="0.3">
      <c r="A2" s="71" t="s">
        <v>70</v>
      </c>
    </row>
    <row r="3" spans="1:20" s="68" customFormat="1" ht="14.25" x14ac:dyDescent="0.3">
      <c r="G3" s="68" t="s">
        <v>71</v>
      </c>
    </row>
    <row r="4" spans="1:20" s="68" customFormat="1" ht="14.25" x14ac:dyDescent="0.3">
      <c r="A4" s="72"/>
      <c r="B4" s="73" t="s">
        <v>2</v>
      </c>
      <c r="C4" s="72"/>
      <c r="E4" s="72"/>
      <c r="F4" s="72"/>
      <c r="G4" s="72"/>
      <c r="H4" s="74"/>
      <c r="I4" s="74"/>
      <c r="J4" s="74"/>
      <c r="K4" s="74"/>
      <c r="L4" s="74"/>
      <c r="M4" s="74"/>
      <c r="N4" s="74"/>
      <c r="O4" s="72"/>
      <c r="P4" s="72"/>
      <c r="Q4" s="72"/>
      <c r="R4" s="75"/>
    </row>
    <row r="5" spans="1:20" s="68" customFormat="1" ht="14.25" x14ac:dyDescent="0.3">
      <c r="A5" s="76" t="s">
        <v>3</v>
      </c>
      <c r="B5" s="76" t="s">
        <v>4</v>
      </c>
      <c r="C5" s="76" t="s">
        <v>72</v>
      </c>
      <c r="D5" s="76" t="s">
        <v>5</v>
      </c>
      <c r="E5" s="77" t="s">
        <v>73</v>
      </c>
      <c r="F5" s="76" t="s">
        <v>74</v>
      </c>
      <c r="G5" s="78" t="s">
        <v>9</v>
      </c>
      <c r="H5" s="79"/>
      <c r="I5" s="76" t="s">
        <v>10</v>
      </c>
      <c r="J5" s="76" t="s">
        <v>75</v>
      </c>
      <c r="K5" s="76" t="s">
        <v>76</v>
      </c>
      <c r="L5" s="76" t="s">
        <v>77</v>
      </c>
      <c r="M5" s="80" t="s">
        <v>78</v>
      </c>
      <c r="N5" s="76" t="s">
        <v>79</v>
      </c>
      <c r="O5" s="76" t="s">
        <v>80</v>
      </c>
      <c r="P5" s="81" t="s">
        <v>81</v>
      </c>
      <c r="Q5" s="82"/>
      <c r="R5" s="83" t="s">
        <v>82</v>
      </c>
      <c r="S5" s="84"/>
      <c r="T5" s="85"/>
    </row>
    <row r="6" spans="1:20" s="68" customFormat="1" ht="14.25" x14ac:dyDescent="0.3">
      <c r="A6" s="86"/>
      <c r="B6" s="86"/>
      <c r="C6" s="86"/>
      <c r="D6" s="86"/>
      <c r="E6" s="108">
        <v>27</v>
      </c>
      <c r="F6" s="86"/>
      <c r="G6" s="76" t="s">
        <v>22</v>
      </c>
      <c r="H6" s="76" t="s">
        <v>23</v>
      </c>
      <c r="I6" s="86"/>
      <c r="J6" s="86"/>
      <c r="K6" s="86"/>
      <c r="L6" s="86"/>
      <c r="M6" s="87"/>
      <c r="N6" s="86"/>
      <c r="O6" s="86"/>
      <c r="P6" s="86" t="s">
        <v>20</v>
      </c>
      <c r="Q6" s="86" t="s">
        <v>83</v>
      </c>
      <c r="R6" s="88"/>
      <c r="S6" s="84"/>
      <c r="T6" s="85"/>
    </row>
    <row r="7" spans="1:20" s="68" customFormat="1" ht="14.25" x14ac:dyDescent="0.3">
      <c r="A7" s="72">
        <v>1</v>
      </c>
      <c r="B7" s="68" t="s">
        <v>84</v>
      </c>
      <c r="C7" s="68">
        <v>1091895116</v>
      </c>
      <c r="D7" s="89" t="s">
        <v>85</v>
      </c>
      <c r="E7" s="89">
        <v>27</v>
      </c>
      <c r="F7" s="90">
        <v>30000</v>
      </c>
      <c r="G7" s="55">
        <v>546</v>
      </c>
      <c r="H7" s="55">
        <v>3000</v>
      </c>
      <c r="I7" s="69">
        <v>1900000</v>
      </c>
      <c r="J7" s="69">
        <f t="shared" ref="J7:J16" si="0">F7*E7</f>
        <v>810000</v>
      </c>
      <c r="K7" s="69">
        <v>400000</v>
      </c>
      <c r="L7" s="69">
        <v>400000</v>
      </c>
      <c r="M7" s="69">
        <f>H7*G7</f>
        <v>1638000</v>
      </c>
      <c r="N7" s="55"/>
      <c r="O7" s="5">
        <f t="shared" ref="O7:O19" si="1">I7+J7+K7+L7+M7+N7</f>
        <v>5148000</v>
      </c>
      <c r="P7" s="5">
        <v>179980</v>
      </c>
      <c r="Q7" s="5">
        <v>700000</v>
      </c>
      <c r="R7" s="92">
        <f t="shared" ref="R7:R16" si="2">O7-P7-Q7</f>
        <v>4268020</v>
      </c>
      <c r="T7" s="85"/>
    </row>
    <row r="8" spans="1:20" s="68" customFormat="1" ht="14.25" x14ac:dyDescent="0.3">
      <c r="A8" s="72">
        <v>2</v>
      </c>
      <c r="B8" s="68" t="s">
        <v>86</v>
      </c>
      <c r="C8" s="68">
        <v>1092321481</v>
      </c>
      <c r="D8" s="89" t="s">
        <v>87</v>
      </c>
      <c r="E8" s="89">
        <v>27</v>
      </c>
      <c r="F8" s="90">
        <v>35000</v>
      </c>
      <c r="G8" s="55">
        <v>546</v>
      </c>
      <c r="H8" s="55">
        <v>3500</v>
      </c>
      <c r="I8" s="93">
        <v>2000000</v>
      </c>
      <c r="J8" s="93">
        <f t="shared" si="0"/>
        <v>945000</v>
      </c>
      <c r="K8" s="93">
        <v>500000</v>
      </c>
      <c r="L8" s="93">
        <v>400000</v>
      </c>
      <c r="M8" s="93">
        <f>H8*G8</f>
        <v>1911000</v>
      </c>
      <c r="N8" s="5"/>
      <c r="O8" s="5">
        <f t="shared" si="1"/>
        <v>5756000</v>
      </c>
      <c r="P8" s="5">
        <v>279980</v>
      </c>
      <c r="Q8" s="55">
        <v>0</v>
      </c>
      <c r="R8" s="92">
        <f t="shared" si="2"/>
        <v>5476020</v>
      </c>
      <c r="T8" s="85"/>
    </row>
    <row r="9" spans="1:20" s="68" customFormat="1" ht="14.25" x14ac:dyDescent="0.3">
      <c r="A9" s="72">
        <v>3</v>
      </c>
      <c r="B9" s="65" t="s">
        <v>88</v>
      </c>
      <c r="C9" s="65">
        <v>1092291981</v>
      </c>
      <c r="D9" s="94" t="s">
        <v>89</v>
      </c>
      <c r="E9" s="94">
        <v>26</v>
      </c>
      <c r="F9" s="96">
        <v>27000</v>
      </c>
      <c r="G9" s="93">
        <v>526</v>
      </c>
      <c r="H9" s="93">
        <v>2000</v>
      </c>
      <c r="I9" s="93">
        <v>1500000</v>
      </c>
      <c r="J9" s="93">
        <f t="shared" si="0"/>
        <v>702000</v>
      </c>
      <c r="K9" s="93">
        <v>300000</v>
      </c>
      <c r="L9" s="93">
        <v>300000</v>
      </c>
      <c r="M9" s="93">
        <f>H9*G9</f>
        <v>1052000</v>
      </c>
      <c r="N9" s="5"/>
      <c r="O9" s="5">
        <f t="shared" si="1"/>
        <v>3854000</v>
      </c>
      <c r="P9" s="5"/>
      <c r="Q9" s="5">
        <v>0</v>
      </c>
      <c r="R9" s="92">
        <f t="shared" si="2"/>
        <v>3854000</v>
      </c>
      <c r="T9" s="95"/>
    </row>
    <row r="10" spans="1:20" s="68" customFormat="1" ht="14.25" x14ac:dyDescent="0.3">
      <c r="A10" s="72">
        <v>4</v>
      </c>
      <c r="B10" s="65" t="s">
        <v>90</v>
      </c>
      <c r="C10" s="65">
        <v>1092338970</v>
      </c>
      <c r="D10" s="94" t="s">
        <v>91</v>
      </c>
      <c r="E10" s="94">
        <v>27</v>
      </c>
      <c r="F10" s="96">
        <v>27000</v>
      </c>
      <c r="G10" s="93">
        <v>546</v>
      </c>
      <c r="H10" s="93">
        <v>2000</v>
      </c>
      <c r="I10" s="93">
        <v>1400000</v>
      </c>
      <c r="J10" s="93">
        <f t="shared" si="0"/>
        <v>729000</v>
      </c>
      <c r="K10" s="93">
        <v>300000</v>
      </c>
      <c r="L10" s="93">
        <v>300000</v>
      </c>
      <c r="M10" s="93">
        <f t="shared" ref="M10" si="3">H10*G10</f>
        <v>1092000</v>
      </c>
      <c r="N10" s="5"/>
      <c r="O10" s="5">
        <f t="shared" si="1"/>
        <v>3821000</v>
      </c>
      <c r="P10" s="5"/>
      <c r="Q10" s="5"/>
      <c r="R10" s="92">
        <f t="shared" si="2"/>
        <v>3821000</v>
      </c>
      <c r="T10" s="95"/>
    </row>
    <row r="11" spans="1:20" s="68" customFormat="1" ht="14.25" x14ac:dyDescent="0.3">
      <c r="A11" s="72">
        <v>5</v>
      </c>
      <c r="B11" s="65" t="s">
        <v>92</v>
      </c>
      <c r="C11" s="65">
        <v>1092408218</v>
      </c>
      <c r="D11" s="94" t="s">
        <v>93</v>
      </c>
      <c r="E11" s="94">
        <v>27</v>
      </c>
      <c r="F11" s="96">
        <v>27000</v>
      </c>
      <c r="G11" s="93">
        <v>546</v>
      </c>
      <c r="H11" s="93">
        <v>2000</v>
      </c>
      <c r="I11" s="93">
        <v>1500000</v>
      </c>
      <c r="J11" s="93">
        <f t="shared" si="0"/>
        <v>729000</v>
      </c>
      <c r="K11" s="93">
        <v>300000</v>
      </c>
      <c r="L11" s="93">
        <v>400000</v>
      </c>
      <c r="M11" s="93">
        <f>H11*G11</f>
        <v>1092000</v>
      </c>
      <c r="N11" s="5"/>
      <c r="O11" s="5">
        <f t="shared" si="1"/>
        <v>4021000</v>
      </c>
      <c r="P11" s="5">
        <v>179980</v>
      </c>
      <c r="Q11" s="5">
        <v>0</v>
      </c>
      <c r="R11" s="92">
        <f t="shared" si="2"/>
        <v>3841020</v>
      </c>
      <c r="T11" s="92"/>
    </row>
    <row r="12" spans="1:20" s="68" customFormat="1" ht="14.25" x14ac:dyDescent="0.3">
      <c r="A12" s="72">
        <v>6</v>
      </c>
      <c r="B12" s="65" t="s">
        <v>94</v>
      </c>
      <c r="C12" s="65">
        <v>5765512724</v>
      </c>
      <c r="D12" s="94" t="s">
        <v>95</v>
      </c>
      <c r="E12" s="94">
        <v>27</v>
      </c>
      <c r="F12" s="96">
        <v>27000</v>
      </c>
      <c r="G12" s="93">
        <v>546</v>
      </c>
      <c r="H12" s="93">
        <v>1500</v>
      </c>
      <c r="I12" s="93">
        <v>1500000</v>
      </c>
      <c r="J12" s="93">
        <f t="shared" si="0"/>
        <v>729000</v>
      </c>
      <c r="K12" s="93">
        <v>300000</v>
      </c>
      <c r="L12" s="93">
        <v>450000</v>
      </c>
      <c r="M12" s="93">
        <f>H12*G12</f>
        <v>819000</v>
      </c>
      <c r="N12" s="5"/>
      <c r="O12" s="5">
        <f t="shared" si="1"/>
        <v>3798000</v>
      </c>
      <c r="P12" s="5">
        <v>179980</v>
      </c>
      <c r="Q12" s="5">
        <v>0</v>
      </c>
      <c r="R12" s="92">
        <f t="shared" si="2"/>
        <v>3618020</v>
      </c>
      <c r="T12" s="92"/>
    </row>
    <row r="13" spans="1:20" s="68" customFormat="1" ht="14.25" x14ac:dyDescent="0.3">
      <c r="A13" s="72">
        <v>7</v>
      </c>
      <c r="B13" s="65" t="s">
        <v>96</v>
      </c>
      <c r="C13" s="65">
        <v>8730573911</v>
      </c>
      <c r="D13" s="94" t="s">
        <v>97</v>
      </c>
      <c r="E13" s="94">
        <v>27</v>
      </c>
      <c r="F13" s="96">
        <v>30000</v>
      </c>
      <c r="G13" s="93">
        <v>546</v>
      </c>
      <c r="H13" s="93">
        <v>2000</v>
      </c>
      <c r="I13" s="93">
        <v>1500000</v>
      </c>
      <c r="J13" s="93">
        <f t="shared" si="0"/>
        <v>810000</v>
      </c>
      <c r="K13" s="93">
        <v>500000</v>
      </c>
      <c r="L13" s="93">
        <v>450000</v>
      </c>
      <c r="M13" s="93">
        <f>H13*G13</f>
        <v>1092000</v>
      </c>
      <c r="N13" s="5">
        <v>550000</v>
      </c>
      <c r="O13" s="5">
        <f>I13+J13+K13+L13+M13+N13</f>
        <v>4902000</v>
      </c>
      <c r="P13" s="5"/>
      <c r="Q13" s="97">
        <v>400000</v>
      </c>
      <c r="R13" s="92">
        <f t="shared" si="2"/>
        <v>4502000</v>
      </c>
      <c r="T13" s="92"/>
    </row>
    <row r="14" spans="1:20" s="68" customFormat="1" ht="14.25" x14ac:dyDescent="0.3">
      <c r="A14" s="72">
        <v>8</v>
      </c>
      <c r="B14" s="89" t="s">
        <v>98</v>
      </c>
      <c r="C14" s="68">
        <v>1091894454</v>
      </c>
      <c r="D14" s="68" t="s">
        <v>99</v>
      </c>
      <c r="E14" s="110">
        <v>27</v>
      </c>
      <c r="F14" s="90">
        <v>27000</v>
      </c>
      <c r="G14" s="5">
        <v>546</v>
      </c>
      <c r="H14" s="91">
        <v>1500</v>
      </c>
      <c r="I14" s="69">
        <v>1200000</v>
      </c>
      <c r="J14" s="93">
        <f t="shared" si="0"/>
        <v>729000</v>
      </c>
      <c r="K14" s="91">
        <v>300000</v>
      </c>
      <c r="L14" s="91">
        <v>300000</v>
      </c>
      <c r="M14" s="93">
        <f t="shared" ref="M14" si="4">H14*G14</f>
        <v>819000</v>
      </c>
      <c r="N14" s="69">
        <v>300000</v>
      </c>
      <c r="O14" s="5">
        <f t="shared" si="1"/>
        <v>3648000</v>
      </c>
      <c r="P14" s="5"/>
      <c r="Q14" s="5">
        <v>0</v>
      </c>
      <c r="R14" s="92">
        <f t="shared" si="2"/>
        <v>3648000</v>
      </c>
      <c r="T14" s="92"/>
    </row>
    <row r="15" spans="1:20" s="68" customFormat="1" ht="14.25" x14ac:dyDescent="0.3">
      <c r="A15" s="72">
        <v>9</v>
      </c>
      <c r="B15" s="98" t="s">
        <v>100</v>
      </c>
      <c r="C15" s="99">
        <v>1091894497</v>
      </c>
      <c r="D15" s="99" t="s">
        <v>101</v>
      </c>
      <c r="E15" s="111">
        <v>27</v>
      </c>
      <c r="F15" s="90">
        <v>30000</v>
      </c>
      <c r="G15" s="5">
        <v>546</v>
      </c>
      <c r="H15" s="91">
        <v>1000</v>
      </c>
      <c r="I15" s="69">
        <v>1900000</v>
      </c>
      <c r="J15" s="93">
        <f t="shared" si="0"/>
        <v>810000</v>
      </c>
      <c r="K15" s="91">
        <v>300000</v>
      </c>
      <c r="L15" s="91">
        <v>300000</v>
      </c>
      <c r="M15" s="93">
        <v>750000</v>
      </c>
      <c r="N15" s="69">
        <v>375000</v>
      </c>
      <c r="O15" s="5">
        <f>I15+J15+K15+L15+M15+N15</f>
        <v>4435000</v>
      </c>
      <c r="P15" s="5">
        <v>279980</v>
      </c>
      <c r="Q15" s="100">
        <v>500000</v>
      </c>
      <c r="R15" s="92">
        <f t="shared" si="2"/>
        <v>3655020</v>
      </c>
      <c r="T15" s="92"/>
    </row>
    <row r="16" spans="1:20" s="68" customFormat="1" ht="14.25" x14ac:dyDescent="0.3">
      <c r="A16" s="72">
        <v>10</v>
      </c>
      <c r="B16" s="98" t="s">
        <v>102</v>
      </c>
      <c r="C16" s="99">
        <v>1093080738</v>
      </c>
      <c r="D16" s="99" t="s">
        <v>103</v>
      </c>
      <c r="E16" s="111">
        <v>27</v>
      </c>
      <c r="F16" s="90">
        <v>27500</v>
      </c>
      <c r="G16" s="5">
        <v>546</v>
      </c>
      <c r="H16" s="91">
        <v>1300</v>
      </c>
      <c r="I16" s="69">
        <v>1550000</v>
      </c>
      <c r="J16" s="93">
        <f t="shared" si="0"/>
        <v>742500</v>
      </c>
      <c r="K16" s="91">
        <v>300000</v>
      </c>
      <c r="L16" s="91">
        <v>100000</v>
      </c>
      <c r="M16" s="93">
        <f>G16*H16</f>
        <v>709800</v>
      </c>
      <c r="N16" s="69"/>
      <c r="O16" s="5">
        <f>I16+J16+K16+L16+M16+N16</f>
        <v>3402300</v>
      </c>
      <c r="P16" s="5"/>
      <c r="Q16" s="5"/>
      <c r="R16" s="92">
        <f t="shared" si="2"/>
        <v>3402300</v>
      </c>
      <c r="T16" s="92"/>
    </row>
    <row r="17" spans="1:20" s="68" customFormat="1" ht="14.25" customHeight="1" x14ac:dyDescent="0.3">
      <c r="A17" s="72">
        <v>11</v>
      </c>
      <c r="B17" s="65" t="s">
        <v>105</v>
      </c>
      <c r="C17" s="65">
        <v>3431610050</v>
      </c>
      <c r="D17" s="94" t="s">
        <v>38</v>
      </c>
      <c r="E17" s="94">
        <v>27</v>
      </c>
      <c r="F17" s="96">
        <v>30000</v>
      </c>
      <c r="G17" s="5">
        <v>546</v>
      </c>
      <c r="H17" s="5">
        <v>3000</v>
      </c>
      <c r="I17" s="93">
        <v>1900000</v>
      </c>
      <c r="J17" s="93">
        <f>F17*E17</f>
        <v>810000</v>
      </c>
      <c r="K17" s="93">
        <v>300000</v>
      </c>
      <c r="L17" s="93">
        <v>400000</v>
      </c>
      <c r="M17" s="93">
        <f>H17*G17</f>
        <v>1638000</v>
      </c>
      <c r="N17" s="5"/>
      <c r="O17" s="5">
        <f>I17+J17+K17+L17+M17+N17</f>
        <v>5048000</v>
      </c>
      <c r="P17" s="5">
        <v>279980</v>
      </c>
      <c r="Q17" s="100">
        <v>850000</v>
      </c>
      <c r="R17" s="92">
        <f>O17-P17-Q17</f>
        <v>3918020</v>
      </c>
      <c r="T17" s="95"/>
    </row>
    <row r="18" spans="1:20" s="68" customFormat="1" ht="14.25" x14ac:dyDescent="0.3">
      <c r="A18" s="72">
        <v>12</v>
      </c>
      <c r="B18" s="65" t="s">
        <v>106</v>
      </c>
      <c r="C18" s="65">
        <v>1091894594</v>
      </c>
      <c r="D18" s="94" t="s">
        <v>38</v>
      </c>
      <c r="E18" s="94">
        <v>27</v>
      </c>
      <c r="F18" s="96">
        <v>27000</v>
      </c>
      <c r="G18" s="93">
        <v>546</v>
      </c>
      <c r="H18" s="93">
        <v>2000</v>
      </c>
      <c r="I18" s="93">
        <v>1400000</v>
      </c>
      <c r="J18" s="93">
        <f>F18*E18</f>
        <v>729000</v>
      </c>
      <c r="K18" s="93">
        <v>200000</v>
      </c>
      <c r="L18" s="93">
        <v>300000</v>
      </c>
      <c r="M18" s="93">
        <f>H18*G18</f>
        <v>1092000</v>
      </c>
      <c r="N18" s="5"/>
      <c r="O18" s="5">
        <f>I18+J18+K18+L18+M18+N18</f>
        <v>3721000</v>
      </c>
      <c r="P18" s="5"/>
      <c r="Q18" s="97">
        <v>700000</v>
      </c>
      <c r="R18" s="92">
        <f t="shared" ref="R18:R19" si="5">O18-P18-Q18</f>
        <v>3021000</v>
      </c>
      <c r="T18" s="101"/>
    </row>
    <row r="19" spans="1:20" s="68" customFormat="1" ht="14.25" x14ac:dyDescent="0.3">
      <c r="A19" s="72">
        <v>13</v>
      </c>
      <c r="B19" s="89" t="s">
        <v>107</v>
      </c>
      <c r="C19" s="89">
        <v>3780462191</v>
      </c>
      <c r="D19" s="89" t="s">
        <v>38</v>
      </c>
      <c r="E19" s="111">
        <v>23</v>
      </c>
      <c r="F19" s="90">
        <v>25000</v>
      </c>
      <c r="G19" s="5">
        <v>466</v>
      </c>
      <c r="H19" s="91">
        <v>1750</v>
      </c>
      <c r="I19" s="69">
        <v>1200000</v>
      </c>
      <c r="J19" s="93">
        <f t="shared" ref="J19" si="6">F19*E19</f>
        <v>575000</v>
      </c>
      <c r="K19" s="91">
        <v>200000</v>
      </c>
      <c r="L19" s="91">
        <v>200000</v>
      </c>
      <c r="M19" s="93">
        <f>G19*H19</f>
        <v>815500</v>
      </c>
      <c r="N19" s="69"/>
      <c r="O19" s="5">
        <f t="shared" si="1"/>
        <v>2990500</v>
      </c>
      <c r="P19" s="5"/>
      <c r="Q19" s="5"/>
      <c r="R19" s="92">
        <f t="shared" si="5"/>
        <v>2990500</v>
      </c>
      <c r="T19" s="92"/>
    </row>
    <row r="20" spans="1:20" s="68" customFormat="1" ht="14.25" x14ac:dyDescent="0.3">
      <c r="A20" s="72">
        <v>14</v>
      </c>
      <c r="B20" s="68" t="s">
        <v>108</v>
      </c>
      <c r="C20" s="68">
        <v>1091892583</v>
      </c>
      <c r="D20" s="89" t="s">
        <v>109</v>
      </c>
      <c r="E20" s="89">
        <v>27</v>
      </c>
      <c r="F20" s="90">
        <v>35000</v>
      </c>
      <c r="G20" s="55">
        <v>0</v>
      </c>
      <c r="H20" s="55">
        <v>0</v>
      </c>
      <c r="I20" s="69">
        <v>1900000</v>
      </c>
      <c r="J20" s="69">
        <f>F20*E20</f>
        <v>945000</v>
      </c>
      <c r="K20" s="69">
        <v>550000</v>
      </c>
      <c r="L20" s="69">
        <v>800000</v>
      </c>
      <c r="M20" s="69">
        <f>H20*G20</f>
        <v>0</v>
      </c>
      <c r="N20" s="55"/>
      <c r="O20" s="5">
        <f>I20+J20+K20+L20+M20+N20</f>
        <v>4195000</v>
      </c>
      <c r="P20" s="5">
        <v>279980</v>
      </c>
      <c r="Q20" s="97">
        <v>300000</v>
      </c>
      <c r="R20" s="92">
        <f>O20-P20-Q20</f>
        <v>3615020</v>
      </c>
      <c r="T20" s="85"/>
    </row>
    <row r="21" spans="1:20" s="68" customFormat="1" ht="14.25" x14ac:dyDescent="0.3">
      <c r="A21" s="72">
        <v>15</v>
      </c>
      <c r="B21" s="65" t="s">
        <v>110</v>
      </c>
      <c r="C21" s="65">
        <v>1091894489</v>
      </c>
      <c r="D21" s="94" t="s">
        <v>111</v>
      </c>
      <c r="E21" s="94">
        <v>26</v>
      </c>
      <c r="F21" s="96">
        <v>30000</v>
      </c>
      <c r="G21" s="5"/>
      <c r="H21" s="5">
        <v>0</v>
      </c>
      <c r="I21" s="93">
        <v>1700000</v>
      </c>
      <c r="J21" s="93">
        <f>F21*E21</f>
        <v>780000</v>
      </c>
      <c r="K21" s="93">
        <v>200000</v>
      </c>
      <c r="L21" s="93">
        <v>550000</v>
      </c>
      <c r="M21" s="93">
        <f>H21*G21</f>
        <v>0</v>
      </c>
      <c r="N21" s="5"/>
      <c r="O21" s="5">
        <f>I21+J21+K21+L21+M21+N21</f>
        <v>3230000</v>
      </c>
      <c r="P21" s="5"/>
      <c r="Q21" s="100">
        <v>500000</v>
      </c>
      <c r="R21" s="92">
        <f t="shared" ref="R21:R22" si="7">O21-P21-Q21</f>
        <v>2730000</v>
      </c>
      <c r="T21" s="95"/>
    </row>
    <row r="22" spans="1:20" s="68" customFormat="1" ht="14.25" x14ac:dyDescent="0.3">
      <c r="A22" s="72">
        <v>16</v>
      </c>
      <c r="B22" s="11" t="s">
        <v>112</v>
      </c>
      <c r="C22" s="103">
        <v>1091892877</v>
      </c>
      <c r="D22" s="99" t="s">
        <v>111</v>
      </c>
      <c r="E22" s="99">
        <v>27</v>
      </c>
      <c r="F22" s="104">
        <v>35000</v>
      </c>
      <c r="G22" s="5"/>
      <c r="H22" s="5"/>
      <c r="I22" s="93">
        <v>1700000</v>
      </c>
      <c r="J22" s="93">
        <f>F22*E22</f>
        <v>945000</v>
      </c>
      <c r="K22" s="93">
        <v>200000</v>
      </c>
      <c r="L22" s="93">
        <v>300000</v>
      </c>
      <c r="M22" s="93">
        <v>0</v>
      </c>
      <c r="N22" s="5"/>
      <c r="O22" s="5">
        <f>I22+J22+K22+L22+M22+N22</f>
        <v>3145000</v>
      </c>
      <c r="P22" s="5">
        <v>279980</v>
      </c>
      <c r="Q22" s="5">
        <v>0</v>
      </c>
      <c r="R22" s="92">
        <f t="shared" si="7"/>
        <v>2865020</v>
      </c>
      <c r="T22" s="95"/>
    </row>
    <row r="23" spans="1:20" s="68" customFormat="1" ht="14.25" x14ac:dyDescent="0.3">
      <c r="A23" s="72"/>
      <c r="B23" s="65"/>
      <c r="C23" s="65"/>
      <c r="D23" s="94" t="s">
        <v>104</v>
      </c>
      <c r="E23" s="112"/>
      <c r="F23" s="93"/>
      <c r="G23" s="5"/>
      <c r="H23" s="5"/>
      <c r="I23" s="93"/>
      <c r="J23" s="93" t="s">
        <v>71</v>
      </c>
      <c r="K23" s="93"/>
      <c r="L23" s="93"/>
      <c r="M23" s="93"/>
      <c r="N23" s="5"/>
      <c r="O23" s="67">
        <f>SUM(O20:O22)</f>
        <v>10570000</v>
      </c>
      <c r="P23" s="67">
        <f>SUM(P20:P22)</f>
        <v>559960</v>
      </c>
      <c r="Q23" s="5">
        <f>SUM(Q20:Q22)</f>
        <v>800000</v>
      </c>
      <c r="R23" s="92">
        <f>O23-P23-Q23</f>
        <v>9210040</v>
      </c>
      <c r="S23" s="95"/>
    </row>
    <row r="24" spans="1:20" s="68" customFormat="1" ht="14.25" x14ac:dyDescent="0.3">
      <c r="A24" s="72"/>
      <c r="B24" s="102" t="s">
        <v>65</v>
      </c>
      <c r="C24" s="65"/>
      <c r="D24" s="94"/>
      <c r="E24" s="112"/>
      <c r="F24" s="93"/>
      <c r="G24" s="5"/>
      <c r="H24" s="5"/>
      <c r="I24" s="93"/>
      <c r="J24" s="93"/>
      <c r="K24" s="93"/>
      <c r="L24" s="93"/>
      <c r="M24" s="93"/>
      <c r="N24" s="5"/>
      <c r="O24" s="70"/>
      <c r="P24" s="70"/>
      <c r="Q24" s="5"/>
      <c r="R24" s="92"/>
      <c r="T24" s="95"/>
    </row>
    <row r="25" spans="1:20" s="68" customFormat="1" ht="14.25" x14ac:dyDescent="0.3">
      <c r="A25" s="47">
        <v>1</v>
      </c>
      <c r="B25" s="65" t="s">
        <v>113</v>
      </c>
      <c r="C25" s="65">
        <v>1091894624</v>
      </c>
      <c r="D25" s="94" t="s">
        <v>114</v>
      </c>
      <c r="E25" s="94">
        <v>27</v>
      </c>
      <c r="F25" s="93">
        <v>50000</v>
      </c>
      <c r="G25" s="93">
        <v>182</v>
      </c>
      <c r="H25" s="93">
        <v>10000</v>
      </c>
      <c r="I25" s="93">
        <v>1000000</v>
      </c>
      <c r="J25" s="93">
        <f>F25*E25</f>
        <v>1350000</v>
      </c>
      <c r="K25" s="93">
        <v>0</v>
      </c>
      <c r="L25" s="93">
        <v>0</v>
      </c>
      <c r="M25" s="93">
        <f>H25*G25</f>
        <v>1820000</v>
      </c>
      <c r="N25" s="5">
        <f>5000*94</f>
        <v>470000</v>
      </c>
      <c r="O25" s="5">
        <f>I25+J25+K25+L25+M25+N25</f>
        <v>4640000</v>
      </c>
      <c r="P25" s="5">
        <v>279980</v>
      </c>
      <c r="Q25" s="5">
        <v>0</v>
      </c>
      <c r="R25" s="92">
        <f>O25-P25-Q25</f>
        <v>4360020</v>
      </c>
      <c r="S25" s="69"/>
      <c r="T25" s="71"/>
    </row>
    <row r="26" spans="1:20" s="68" customFormat="1" ht="14.25" x14ac:dyDescent="0.3">
      <c r="A26" s="72">
        <v>2</v>
      </c>
      <c r="B26" s="65" t="s">
        <v>115</v>
      </c>
      <c r="C26" s="65">
        <v>8730628243</v>
      </c>
      <c r="D26" s="94" t="s">
        <v>114</v>
      </c>
      <c r="E26" s="94">
        <v>27</v>
      </c>
      <c r="F26" s="93">
        <v>50000</v>
      </c>
      <c r="G26" s="93">
        <v>161</v>
      </c>
      <c r="H26" s="93">
        <v>10000</v>
      </c>
      <c r="I26" s="93">
        <v>900000</v>
      </c>
      <c r="J26" s="93">
        <f>F26*E26</f>
        <v>1350000</v>
      </c>
      <c r="K26" s="93">
        <v>0</v>
      </c>
      <c r="L26" s="93">
        <v>0</v>
      </c>
      <c r="M26" s="93">
        <f>H26*G26</f>
        <v>1610000</v>
      </c>
      <c r="N26" s="5">
        <f>5000*80</f>
        <v>400000</v>
      </c>
      <c r="O26" s="5">
        <f t="shared" ref="O26:O29" si="8">I26+J26+K26+L26+M26+N26</f>
        <v>4260000</v>
      </c>
      <c r="P26" s="5"/>
      <c r="Q26" s="5">
        <v>0</v>
      </c>
      <c r="R26" s="92">
        <f t="shared" ref="R26:R29" si="9">O26-P26-Q26</f>
        <v>4260000</v>
      </c>
    </row>
    <row r="27" spans="1:20" s="68" customFormat="1" ht="14.25" x14ac:dyDescent="0.3">
      <c r="A27" s="72">
        <v>3</v>
      </c>
      <c r="B27" s="65" t="s">
        <v>116</v>
      </c>
      <c r="C27" s="65">
        <v>8761064797</v>
      </c>
      <c r="D27" s="94" t="s">
        <v>114</v>
      </c>
      <c r="E27" s="94">
        <v>27</v>
      </c>
      <c r="F27" s="93">
        <v>50000</v>
      </c>
      <c r="G27" s="93">
        <v>151</v>
      </c>
      <c r="H27" s="93">
        <v>10000</v>
      </c>
      <c r="I27" s="93">
        <v>750000</v>
      </c>
      <c r="J27" s="93">
        <f>F27*E27</f>
        <v>1350000</v>
      </c>
      <c r="K27" s="93"/>
      <c r="L27" s="93"/>
      <c r="M27" s="93">
        <f>H27*G27</f>
        <v>1510000</v>
      </c>
      <c r="N27" s="5">
        <f>5000*85</f>
        <v>425000</v>
      </c>
      <c r="O27" s="5">
        <f t="shared" si="8"/>
        <v>4035000</v>
      </c>
      <c r="P27" s="5">
        <v>279980</v>
      </c>
      <c r="Q27" s="5">
        <v>0</v>
      </c>
      <c r="R27" s="92">
        <f t="shared" si="9"/>
        <v>3755020</v>
      </c>
      <c r="S27" s="105"/>
    </row>
    <row r="28" spans="1:20" s="68" customFormat="1" ht="14.25" x14ac:dyDescent="0.3">
      <c r="A28" s="72">
        <v>4</v>
      </c>
      <c r="B28" s="68" t="s">
        <v>117</v>
      </c>
      <c r="C28" s="68">
        <v>1091894608</v>
      </c>
      <c r="D28" s="94" t="s">
        <v>114</v>
      </c>
      <c r="E28" s="94">
        <v>27</v>
      </c>
      <c r="F28" s="93">
        <v>50000</v>
      </c>
      <c r="G28" s="93">
        <v>169</v>
      </c>
      <c r="H28" s="93">
        <v>10000</v>
      </c>
      <c r="I28" s="93">
        <v>750000</v>
      </c>
      <c r="J28" s="93">
        <f>F28*E28</f>
        <v>1350000</v>
      </c>
      <c r="K28" s="93"/>
      <c r="L28" s="93"/>
      <c r="M28" s="93">
        <f>H28*G28</f>
        <v>1690000</v>
      </c>
      <c r="N28" s="5">
        <f>5000*78</f>
        <v>390000</v>
      </c>
      <c r="O28" s="5">
        <f t="shared" si="8"/>
        <v>4180000</v>
      </c>
      <c r="P28" s="5"/>
      <c r="Q28" s="100">
        <v>300000</v>
      </c>
      <c r="R28" s="92">
        <f t="shared" si="9"/>
        <v>3880000</v>
      </c>
      <c r="S28" s="85"/>
      <c r="T28" s="85"/>
    </row>
    <row r="29" spans="1:20" s="68" customFormat="1" ht="14.25" x14ac:dyDescent="0.3">
      <c r="A29" s="72">
        <v>5</v>
      </c>
      <c r="B29" s="68" t="s">
        <v>118</v>
      </c>
      <c r="C29" s="68">
        <v>1091894616</v>
      </c>
      <c r="D29" s="89" t="s">
        <v>114</v>
      </c>
      <c r="E29" s="94">
        <v>26</v>
      </c>
      <c r="F29" s="93">
        <v>50000</v>
      </c>
      <c r="G29" s="93">
        <v>151</v>
      </c>
      <c r="H29" s="93">
        <v>10000</v>
      </c>
      <c r="I29" s="93">
        <v>750000</v>
      </c>
      <c r="J29" s="93">
        <f>F29*E29</f>
        <v>1300000</v>
      </c>
      <c r="K29" s="93"/>
      <c r="L29" s="93"/>
      <c r="M29" s="93">
        <f>H29*G29</f>
        <v>1510000</v>
      </c>
      <c r="N29" s="5">
        <f>5000*76</f>
        <v>380000</v>
      </c>
      <c r="O29" s="5">
        <f t="shared" si="8"/>
        <v>3940000</v>
      </c>
      <c r="P29" s="5"/>
      <c r="Q29" s="5">
        <v>0</v>
      </c>
      <c r="R29" s="92">
        <f t="shared" si="9"/>
        <v>3940000</v>
      </c>
      <c r="S29" s="85"/>
      <c r="T29" s="85"/>
    </row>
    <row r="30" spans="1:20" s="68" customFormat="1" ht="14.25" x14ac:dyDescent="0.3">
      <c r="D30" s="68" t="s">
        <v>104</v>
      </c>
      <c r="E30" s="109"/>
      <c r="F30" s="69"/>
      <c r="G30" s="55"/>
      <c r="H30" s="55"/>
      <c r="I30" s="69"/>
      <c r="J30" s="69"/>
      <c r="K30" s="69"/>
      <c r="L30" s="69"/>
      <c r="M30" s="69"/>
      <c r="N30" s="106"/>
      <c r="O30" s="107">
        <f>SUM(O25:O29)</f>
        <v>21055000</v>
      </c>
      <c r="P30" s="107">
        <f>SUM(P25:P29)</f>
        <v>559960</v>
      </c>
      <c r="Q30" s="55">
        <f>SUM(Q25:Q29)</f>
        <v>300000</v>
      </c>
      <c r="R30" s="92">
        <f>O30-P30-Q30</f>
        <v>20195040</v>
      </c>
      <c r="S30" s="69"/>
      <c r="T30" s="7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C4FE7-41C6-4EC6-9A2C-ED5198A12057}">
  <dimension ref="A1:AD36"/>
  <sheetViews>
    <sheetView workbookViewId="0">
      <selection activeCell="I10" sqref="I10"/>
    </sheetView>
  </sheetViews>
  <sheetFormatPr defaultRowHeight="15" x14ac:dyDescent="0.25"/>
  <cols>
    <col min="2" max="2" width="21.5703125" customWidth="1"/>
    <col min="3" max="3" width="16.7109375" bestFit="1" customWidth="1"/>
    <col min="4" max="4" width="12" bestFit="1" customWidth="1"/>
    <col min="9" max="9" width="10.140625" customWidth="1"/>
    <col min="11" max="11" width="10.5703125" customWidth="1"/>
    <col min="13" max="14" width="10.28515625" customWidth="1"/>
    <col min="16" max="16" width="13.42578125" customWidth="1"/>
    <col min="22" max="22" width="11.7109375" bestFit="1" customWidth="1"/>
  </cols>
  <sheetData>
    <row r="1" spans="1:23" s="113" customFormat="1" ht="18" customHeight="1" x14ac:dyDescent="0.3">
      <c r="A1" s="65"/>
      <c r="B1" s="113" t="s">
        <v>119</v>
      </c>
      <c r="F1" s="65"/>
      <c r="K1" s="114"/>
      <c r="L1" s="114"/>
      <c r="M1" s="114"/>
      <c r="N1" s="114"/>
      <c r="Q1" s="65"/>
      <c r="R1" s="65"/>
      <c r="S1" s="65"/>
      <c r="T1" s="65"/>
      <c r="U1" s="65"/>
    </row>
    <row r="2" spans="1:23" s="113" customFormat="1" ht="14.25" x14ac:dyDescent="0.3">
      <c r="A2" s="65"/>
      <c r="B2" s="113" t="s">
        <v>120</v>
      </c>
      <c r="F2" s="65"/>
      <c r="K2" s="114"/>
      <c r="L2" s="114"/>
    </row>
    <row r="3" spans="1:23" s="113" customFormat="1" ht="14.25" x14ac:dyDescent="0.3">
      <c r="A3" s="115" t="s">
        <v>3</v>
      </c>
      <c r="B3" s="115" t="s">
        <v>4</v>
      </c>
      <c r="C3" s="115" t="s">
        <v>5</v>
      </c>
      <c r="D3" s="115" t="s">
        <v>64</v>
      </c>
      <c r="E3" s="115" t="s">
        <v>121</v>
      </c>
      <c r="F3" s="115" t="s">
        <v>74</v>
      </c>
      <c r="G3" s="116" t="s">
        <v>15</v>
      </c>
      <c r="H3" s="117"/>
      <c r="I3" s="115" t="s">
        <v>10</v>
      </c>
      <c r="J3" s="115" t="s">
        <v>122</v>
      </c>
      <c r="K3" s="115" t="s">
        <v>12</v>
      </c>
      <c r="L3" s="115" t="s">
        <v>123</v>
      </c>
      <c r="M3" s="115" t="s">
        <v>124</v>
      </c>
      <c r="N3" s="115" t="s">
        <v>170</v>
      </c>
      <c r="O3" s="115" t="s">
        <v>125</v>
      </c>
      <c r="P3" s="115" t="s">
        <v>126</v>
      </c>
      <c r="Q3" s="140" t="s">
        <v>81</v>
      </c>
      <c r="R3" s="141"/>
      <c r="S3" s="141"/>
      <c r="T3" s="142"/>
      <c r="U3" s="118" t="s">
        <v>80</v>
      </c>
      <c r="V3" s="119"/>
    </row>
    <row r="4" spans="1:23" s="113" customFormat="1" ht="14.25" x14ac:dyDescent="0.3">
      <c r="A4" s="120"/>
      <c r="B4" s="68"/>
      <c r="C4" s="68"/>
      <c r="D4" s="68"/>
      <c r="E4" s="68"/>
      <c r="F4" s="69"/>
      <c r="G4" s="69" t="s">
        <v>22</v>
      </c>
      <c r="H4" s="69" t="s">
        <v>23</v>
      </c>
      <c r="I4" s="69"/>
      <c r="J4" s="69"/>
      <c r="K4" s="69"/>
      <c r="L4" s="69"/>
      <c r="M4" s="69"/>
      <c r="N4" s="69" t="s">
        <v>171</v>
      </c>
      <c r="O4" s="69"/>
      <c r="P4" s="69"/>
      <c r="Q4" s="69" t="s">
        <v>127</v>
      </c>
      <c r="R4" s="69" t="s">
        <v>128</v>
      </c>
      <c r="S4" s="69" t="s">
        <v>129</v>
      </c>
      <c r="T4" s="69" t="s">
        <v>68</v>
      </c>
      <c r="U4" s="121"/>
      <c r="V4" s="69"/>
      <c r="W4" s="69"/>
    </row>
    <row r="5" spans="1:23" s="68" customFormat="1" ht="14.25" x14ac:dyDescent="0.3">
      <c r="A5" s="68">
        <v>1</v>
      </c>
      <c r="B5" s="68" t="s">
        <v>130</v>
      </c>
      <c r="C5" s="68" t="s">
        <v>131</v>
      </c>
      <c r="E5" s="68">
        <v>26</v>
      </c>
      <c r="F5" s="69">
        <v>30000</v>
      </c>
      <c r="G5" s="69">
        <v>465</v>
      </c>
      <c r="H5" s="69">
        <v>3000</v>
      </c>
      <c r="I5" s="69">
        <v>1600000</v>
      </c>
      <c r="J5" s="69">
        <v>350000</v>
      </c>
      <c r="K5" s="69">
        <f>E5*F5</f>
        <v>780000</v>
      </c>
      <c r="L5" s="69">
        <v>600000</v>
      </c>
      <c r="M5" s="69">
        <f t="shared" ref="M5:M9" si="0">G5*H5</f>
        <v>1395000</v>
      </c>
      <c r="N5" s="69"/>
      <c r="O5" s="69">
        <v>0</v>
      </c>
      <c r="P5" s="69">
        <f>SUM(I5:O5)</f>
        <v>4725000</v>
      </c>
      <c r="Q5" s="69">
        <v>55585</v>
      </c>
      <c r="R5" s="69">
        <v>114274</v>
      </c>
      <c r="S5" s="69"/>
      <c r="T5" s="69">
        <v>70000</v>
      </c>
      <c r="U5" s="68">
        <f>P5-Q5-R5-S5-T5</f>
        <v>4485141</v>
      </c>
      <c r="V5" s="69"/>
    </row>
    <row r="6" spans="1:23" s="68" customFormat="1" ht="14.25" x14ac:dyDescent="0.3">
      <c r="A6" s="68">
        <v>2</v>
      </c>
      <c r="B6" s="68" t="s">
        <v>132</v>
      </c>
      <c r="C6" s="68" t="s">
        <v>133</v>
      </c>
      <c r="E6" s="68">
        <v>25</v>
      </c>
      <c r="F6" s="69">
        <v>25000</v>
      </c>
      <c r="G6" s="69">
        <v>449</v>
      </c>
      <c r="H6" s="69">
        <v>3000</v>
      </c>
      <c r="I6" s="69">
        <v>1250000</v>
      </c>
      <c r="J6" s="69">
        <v>200000</v>
      </c>
      <c r="K6" s="69">
        <f>E6*F6</f>
        <v>625000</v>
      </c>
      <c r="L6" s="69">
        <v>400000</v>
      </c>
      <c r="M6" s="69">
        <f t="shared" si="0"/>
        <v>1347000</v>
      </c>
      <c r="N6" s="69"/>
      <c r="O6" s="69">
        <v>0</v>
      </c>
      <c r="P6" s="69">
        <f t="shared" ref="P6:P15" si="1">SUM(I6:O6)</f>
        <v>3822000</v>
      </c>
      <c r="Q6" s="69">
        <v>55585</v>
      </c>
      <c r="R6" s="69"/>
      <c r="S6" s="69">
        <v>300000</v>
      </c>
      <c r="T6" s="69"/>
      <c r="U6" s="68">
        <f>P6-Q6-R6-S6-T6</f>
        <v>3466415</v>
      </c>
      <c r="V6" s="69"/>
    </row>
    <row r="7" spans="1:23" s="68" customFormat="1" ht="14.25" x14ac:dyDescent="0.3">
      <c r="A7" s="68">
        <v>3</v>
      </c>
      <c r="B7" s="68" t="s">
        <v>134</v>
      </c>
      <c r="C7" s="68" t="s">
        <v>135</v>
      </c>
      <c r="E7" s="68">
        <v>26</v>
      </c>
      <c r="F7" s="69">
        <v>25000</v>
      </c>
      <c r="G7" s="69">
        <v>482</v>
      </c>
      <c r="H7" s="69">
        <v>3000</v>
      </c>
      <c r="I7" s="69">
        <v>1250000</v>
      </c>
      <c r="J7" s="69">
        <v>200000</v>
      </c>
      <c r="K7" s="69">
        <f>E7*F7</f>
        <v>650000</v>
      </c>
      <c r="L7" s="69">
        <v>400000</v>
      </c>
      <c r="M7" s="69">
        <f t="shared" si="0"/>
        <v>1446000</v>
      </c>
      <c r="N7" s="69"/>
      <c r="O7" s="69">
        <v>0</v>
      </c>
      <c r="P7" s="69">
        <f t="shared" si="1"/>
        <v>3946000</v>
      </c>
      <c r="Q7" s="69">
        <v>55585</v>
      </c>
      <c r="R7" s="69">
        <v>114274</v>
      </c>
      <c r="S7" s="69"/>
      <c r="T7" s="69"/>
      <c r="U7" s="68">
        <f t="shared" ref="U7:U22" si="2">P7-Q7-R7-S7-T7</f>
        <v>3776141</v>
      </c>
      <c r="V7" s="69"/>
    </row>
    <row r="8" spans="1:23" s="65" customFormat="1" ht="14.25" x14ac:dyDescent="0.3">
      <c r="A8" s="68">
        <v>4</v>
      </c>
      <c r="B8" s="65" t="s">
        <v>136</v>
      </c>
      <c r="C8" s="65" t="s">
        <v>137</v>
      </c>
      <c r="E8" s="68">
        <v>27</v>
      </c>
      <c r="F8" s="93">
        <v>25000</v>
      </c>
      <c r="G8" s="69">
        <v>482</v>
      </c>
      <c r="H8" s="93">
        <v>3000</v>
      </c>
      <c r="I8" s="93">
        <v>1350000</v>
      </c>
      <c r="J8" s="93">
        <v>200000</v>
      </c>
      <c r="K8" s="93">
        <f>E8*F8</f>
        <v>675000</v>
      </c>
      <c r="L8" s="93">
        <v>600000</v>
      </c>
      <c r="M8" s="93">
        <f t="shared" si="0"/>
        <v>1446000</v>
      </c>
      <c r="N8" s="93"/>
      <c r="O8" s="93">
        <v>200000</v>
      </c>
      <c r="P8" s="93">
        <f t="shared" si="1"/>
        <v>4471000</v>
      </c>
      <c r="Q8" s="93"/>
      <c r="R8" s="93">
        <v>114274</v>
      </c>
      <c r="S8" s="93"/>
      <c r="T8" s="93">
        <v>100000</v>
      </c>
      <c r="U8" s="68">
        <f t="shared" si="2"/>
        <v>4256726</v>
      </c>
      <c r="V8" s="93"/>
      <c r="W8" s="68"/>
    </row>
    <row r="9" spans="1:23" s="68" customFormat="1" ht="14.25" x14ac:dyDescent="0.3">
      <c r="A9" s="68">
        <v>5</v>
      </c>
      <c r="B9" s="68" t="s">
        <v>138</v>
      </c>
      <c r="C9" s="68" t="s">
        <v>139</v>
      </c>
      <c r="E9" s="68">
        <v>26</v>
      </c>
      <c r="F9" s="69">
        <v>25000</v>
      </c>
      <c r="G9" s="69">
        <v>457</v>
      </c>
      <c r="H9" s="69">
        <v>3000</v>
      </c>
      <c r="I9" s="69">
        <v>1300000</v>
      </c>
      <c r="J9" s="69">
        <v>200000</v>
      </c>
      <c r="K9" s="69">
        <f>E9*F9</f>
        <v>650000</v>
      </c>
      <c r="L9" s="69">
        <v>400000</v>
      </c>
      <c r="M9" s="69">
        <f t="shared" si="0"/>
        <v>1371000</v>
      </c>
      <c r="N9" s="69">
        <v>500000</v>
      </c>
      <c r="O9" s="69">
        <v>100000</v>
      </c>
      <c r="P9" s="69">
        <f t="shared" si="1"/>
        <v>4521000</v>
      </c>
      <c r="Q9" s="69"/>
      <c r="R9" s="69"/>
      <c r="S9" s="69">
        <v>500000</v>
      </c>
      <c r="T9" s="69">
        <v>10000</v>
      </c>
      <c r="U9" s="68">
        <f t="shared" si="2"/>
        <v>4011000</v>
      </c>
      <c r="V9" s="69"/>
    </row>
    <row r="10" spans="1:23" s="68" customFormat="1" ht="14.25" x14ac:dyDescent="0.3">
      <c r="A10" s="68">
        <v>6</v>
      </c>
      <c r="B10" s="68" t="s">
        <v>140</v>
      </c>
      <c r="C10" s="68" t="s">
        <v>141</v>
      </c>
      <c r="E10" s="68">
        <v>26</v>
      </c>
      <c r="F10" s="69">
        <v>25000</v>
      </c>
      <c r="G10" s="69">
        <v>465</v>
      </c>
      <c r="H10" s="69">
        <v>1500</v>
      </c>
      <c r="I10" s="69">
        <v>1100000</v>
      </c>
      <c r="J10" s="69">
        <v>200000</v>
      </c>
      <c r="K10" s="69">
        <f t="shared" ref="K10:K22" si="3">E10*F10</f>
        <v>650000</v>
      </c>
      <c r="L10" s="69">
        <v>200000</v>
      </c>
      <c r="M10" s="69">
        <f t="shared" ref="M10:M14" si="4">G10*H10</f>
        <v>697500</v>
      </c>
      <c r="N10" s="69"/>
      <c r="O10" s="69">
        <v>100000</v>
      </c>
      <c r="P10" s="69">
        <f t="shared" si="1"/>
        <v>2947500</v>
      </c>
      <c r="Q10" s="69"/>
      <c r="R10" s="69"/>
      <c r="S10" s="69">
        <v>300000</v>
      </c>
      <c r="T10" s="69">
        <v>20000</v>
      </c>
      <c r="U10" s="68">
        <f t="shared" si="2"/>
        <v>2627500</v>
      </c>
      <c r="V10" s="69"/>
    </row>
    <row r="11" spans="1:23" s="68" customFormat="1" ht="14.25" x14ac:dyDescent="0.3">
      <c r="A11" s="68">
        <v>7</v>
      </c>
      <c r="B11" s="68" t="s">
        <v>142</v>
      </c>
      <c r="C11" s="68" t="s">
        <v>38</v>
      </c>
      <c r="E11" s="68">
        <v>28</v>
      </c>
      <c r="F11" s="69">
        <v>25000</v>
      </c>
      <c r="G11" s="69">
        <v>503</v>
      </c>
      <c r="H11" s="69">
        <v>1500</v>
      </c>
      <c r="I11" s="69">
        <v>1100000</v>
      </c>
      <c r="J11" s="69">
        <v>200000</v>
      </c>
      <c r="K11" s="69">
        <f t="shared" si="3"/>
        <v>700000</v>
      </c>
      <c r="L11" s="69">
        <v>250000</v>
      </c>
      <c r="M11" s="69">
        <f t="shared" si="4"/>
        <v>754500</v>
      </c>
      <c r="N11" s="69"/>
      <c r="O11" s="69">
        <v>100000</v>
      </c>
      <c r="P11" s="69">
        <f t="shared" si="1"/>
        <v>3104500</v>
      </c>
      <c r="Q11" s="69">
        <v>0</v>
      </c>
      <c r="R11" s="69">
        <v>0</v>
      </c>
      <c r="S11" s="69"/>
      <c r="T11" s="69">
        <v>110000</v>
      </c>
      <c r="U11" s="68">
        <f t="shared" si="2"/>
        <v>2994500</v>
      </c>
      <c r="V11" s="69"/>
    </row>
    <row r="12" spans="1:23" s="68" customFormat="1" ht="14.25" x14ac:dyDescent="0.3">
      <c r="A12" s="68">
        <v>8</v>
      </c>
      <c r="B12" s="68" t="s">
        <v>143</v>
      </c>
      <c r="C12" s="68" t="s">
        <v>38</v>
      </c>
      <c r="E12" s="68">
        <v>27</v>
      </c>
      <c r="F12" s="69">
        <v>25000</v>
      </c>
      <c r="G12" s="69">
        <v>503</v>
      </c>
      <c r="H12" s="69">
        <v>2000</v>
      </c>
      <c r="I12" s="69">
        <v>1100000</v>
      </c>
      <c r="J12" s="69">
        <v>200000</v>
      </c>
      <c r="K12" s="69">
        <f t="shared" si="3"/>
        <v>675000</v>
      </c>
      <c r="L12" s="69">
        <v>250000</v>
      </c>
      <c r="M12" s="69">
        <f t="shared" si="4"/>
        <v>1006000</v>
      </c>
      <c r="N12" s="69"/>
      <c r="O12" s="69">
        <v>0</v>
      </c>
      <c r="P12" s="69">
        <f t="shared" si="1"/>
        <v>3231000</v>
      </c>
      <c r="Q12" s="69">
        <v>55585</v>
      </c>
      <c r="R12" s="69">
        <v>0</v>
      </c>
      <c r="S12" s="69"/>
      <c r="T12" s="69">
        <v>60000</v>
      </c>
      <c r="U12" s="68">
        <f t="shared" si="2"/>
        <v>3115415</v>
      </c>
    </row>
    <row r="13" spans="1:23" s="68" customFormat="1" ht="16.5" x14ac:dyDescent="0.3">
      <c r="A13" s="68">
        <v>9</v>
      </c>
      <c r="B13" s="68" t="s">
        <v>144</v>
      </c>
      <c r="C13" s="68" t="s">
        <v>38</v>
      </c>
      <c r="D13" s="122">
        <v>5721359426</v>
      </c>
      <c r="E13" s="68">
        <v>28</v>
      </c>
      <c r="F13" s="69">
        <v>20000</v>
      </c>
      <c r="G13" s="69">
        <v>482</v>
      </c>
      <c r="H13" s="69">
        <v>1000</v>
      </c>
      <c r="I13" s="69">
        <v>1100000</v>
      </c>
      <c r="J13" s="69">
        <v>200000</v>
      </c>
      <c r="K13" s="69">
        <f t="shared" si="3"/>
        <v>560000</v>
      </c>
      <c r="L13" s="69">
        <v>0</v>
      </c>
      <c r="M13" s="69">
        <f t="shared" si="4"/>
        <v>482000</v>
      </c>
      <c r="N13" s="69"/>
      <c r="O13" s="69">
        <v>100000</v>
      </c>
      <c r="P13" s="69">
        <f t="shared" si="1"/>
        <v>2442000</v>
      </c>
      <c r="Q13" s="69"/>
      <c r="R13" s="69"/>
      <c r="S13" s="69">
        <v>200000</v>
      </c>
      <c r="T13" s="69"/>
      <c r="U13" s="68">
        <f t="shared" si="2"/>
        <v>2242000</v>
      </c>
      <c r="V13" s="122">
        <v>5721359426</v>
      </c>
    </row>
    <row r="14" spans="1:23" s="68" customFormat="1" ht="14.25" x14ac:dyDescent="0.3">
      <c r="A14" s="68">
        <v>10</v>
      </c>
      <c r="B14" s="68" t="s">
        <v>66</v>
      </c>
      <c r="C14" s="68" t="s">
        <v>145</v>
      </c>
      <c r="E14" s="68">
        <v>27</v>
      </c>
      <c r="F14" s="69">
        <v>25000</v>
      </c>
      <c r="G14" s="69">
        <v>482</v>
      </c>
      <c r="H14" s="69">
        <v>3000</v>
      </c>
      <c r="I14" s="69">
        <v>1200000</v>
      </c>
      <c r="J14" s="69">
        <v>200000</v>
      </c>
      <c r="K14" s="69">
        <f t="shared" si="3"/>
        <v>675000</v>
      </c>
      <c r="L14" s="69">
        <v>600000</v>
      </c>
      <c r="M14" s="69">
        <f t="shared" si="4"/>
        <v>1446000</v>
      </c>
      <c r="N14" s="69">
        <v>1000000</v>
      </c>
      <c r="O14" s="69">
        <v>100000</v>
      </c>
      <c r="P14" s="69">
        <f t="shared" si="1"/>
        <v>5221000</v>
      </c>
      <c r="Q14" s="69"/>
      <c r="R14" s="69"/>
      <c r="S14" s="69">
        <v>500000</v>
      </c>
      <c r="T14" s="69">
        <v>45000</v>
      </c>
      <c r="U14" s="68">
        <f t="shared" si="2"/>
        <v>4676000</v>
      </c>
    </row>
    <row r="15" spans="1:23" s="133" customFormat="1" ht="14.25" x14ac:dyDescent="0.3">
      <c r="A15" s="132">
        <v>11</v>
      </c>
      <c r="B15" s="133" t="s">
        <v>146</v>
      </c>
      <c r="C15" s="133" t="s">
        <v>147</v>
      </c>
      <c r="D15" s="136">
        <v>5465561201</v>
      </c>
      <c r="E15" s="132">
        <v>27</v>
      </c>
      <c r="F15" s="134">
        <v>25000</v>
      </c>
      <c r="G15" s="135">
        <v>384</v>
      </c>
      <c r="H15" s="134">
        <v>1000</v>
      </c>
      <c r="I15" s="134">
        <v>1000000</v>
      </c>
      <c r="J15" s="134">
        <v>200000</v>
      </c>
      <c r="K15" s="134">
        <f t="shared" si="3"/>
        <v>675000</v>
      </c>
      <c r="L15" s="134">
        <v>100000</v>
      </c>
      <c r="M15" s="134">
        <f t="shared" ref="M15:M20" si="5">G15*H15</f>
        <v>384000</v>
      </c>
      <c r="N15" s="134"/>
      <c r="O15" s="134">
        <v>100000</v>
      </c>
      <c r="P15" s="134">
        <f t="shared" si="1"/>
        <v>2459000</v>
      </c>
      <c r="Q15" s="134"/>
      <c r="R15" s="134"/>
      <c r="S15" s="134"/>
      <c r="T15" s="134"/>
      <c r="U15" s="132">
        <f t="shared" si="2"/>
        <v>2459000</v>
      </c>
      <c r="V15" s="136">
        <v>5465561201</v>
      </c>
      <c r="W15" s="132"/>
    </row>
    <row r="16" spans="1:23" s="133" customFormat="1" ht="14.25" x14ac:dyDescent="0.3">
      <c r="A16" s="132">
        <v>12</v>
      </c>
      <c r="B16" s="133" t="s">
        <v>148</v>
      </c>
      <c r="C16" s="133" t="s">
        <v>147</v>
      </c>
      <c r="E16" s="132">
        <v>27</v>
      </c>
      <c r="F16" s="134">
        <v>25000</v>
      </c>
      <c r="G16" s="135">
        <v>384</v>
      </c>
      <c r="H16" s="134">
        <v>1000</v>
      </c>
      <c r="I16" s="134">
        <v>1000000</v>
      </c>
      <c r="J16" s="134">
        <v>200000</v>
      </c>
      <c r="K16" s="134">
        <f t="shared" si="3"/>
        <v>675000</v>
      </c>
      <c r="L16" s="134">
        <v>100000</v>
      </c>
      <c r="M16" s="134">
        <f t="shared" si="5"/>
        <v>384000</v>
      </c>
      <c r="N16" s="134"/>
      <c r="O16" s="134">
        <v>100000</v>
      </c>
      <c r="P16" s="134">
        <f>SUM(I16:O16)</f>
        <v>2459000</v>
      </c>
      <c r="Q16" s="134"/>
      <c r="R16" s="134"/>
      <c r="S16" s="134"/>
      <c r="T16" s="134"/>
      <c r="U16" s="132">
        <f t="shared" si="2"/>
        <v>2459000</v>
      </c>
      <c r="V16" s="136"/>
      <c r="W16" s="132"/>
    </row>
    <row r="17" spans="1:30" s="65" customFormat="1" ht="14.25" x14ac:dyDescent="0.3">
      <c r="A17" s="68">
        <v>13</v>
      </c>
      <c r="B17" s="123" t="s">
        <v>149</v>
      </c>
      <c r="C17" s="65" t="s">
        <v>150</v>
      </c>
      <c r="E17" s="68">
        <v>27</v>
      </c>
      <c r="F17" s="93">
        <v>25000</v>
      </c>
      <c r="G17" s="69">
        <v>482</v>
      </c>
      <c r="H17" s="93">
        <v>2000</v>
      </c>
      <c r="I17" s="93">
        <v>1000000</v>
      </c>
      <c r="J17" s="93">
        <v>200000</v>
      </c>
      <c r="K17" s="93">
        <f t="shared" si="3"/>
        <v>675000</v>
      </c>
      <c r="L17" s="93">
        <v>100000</v>
      </c>
      <c r="M17" s="93">
        <f t="shared" si="5"/>
        <v>964000</v>
      </c>
      <c r="N17" s="93"/>
      <c r="O17" s="93">
        <v>100000</v>
      </c>
      <c r="P17" s="93">
        <f t="shared" ref="P17:P22" si="6">SUM(I17:O17)</f>
        <v>3039000</v>
      </c>
      <c r="Q17" s="93"/>
      <c r="R17" s="93"/>
      <c r="S17" s="93"/>
      <c r="T17" s="93">
        <v>30000</v>
      </c>
      <c r="U17" s="68">
        <f t="shared" si="2"/>
        <v>3009000</v>
      </c>
      <c r="V17" s="93"/>
      <c r="W17" s="68"/>
    </row>
    <row r="18" spans="1:30" s="65" customFormat="1" ht="14.25" x14ac:dyDescent="0.3">
      <c r="A18" s="68">
        <v>14</v>
      </c>
      <c r="B18" s="65" t="s">
        <v>151</v>
      </c>
      <c r="C18" s="65" t="s">
        <v>152</v>
      </c>
      <c r="D18" s="65">
        <v>8760435792</v>
      </c>
      <c r="E18" s="68">
        <v>27</v>
      </c>
      <c r="F18" s="93">
        <v>25000</v>
      </c>
      <c r="G18" s="69">
        <v>482</v>
      </c>
      <c r="H18" s="93">
        <v>3000</v>
      </c>
      <c r="I18" s="93">
        <v>1300000</v>
      </c>
      <c r="J18" s="93">
        <v>200000</v>
      </c>
      <c r="K18" s="93">
        <f t="shared" si="3"/>
        <v>675000</v>
      </c>
      <c r="L18" s="93">
        <v>400000</v>
      </c>
      <c r="M18" s="93">
        <f t="shared" si="5"/>
        <v>1446000</v>
      </c>
      <c r="N18" s="93"/>
      <c r="O18" s="93">
        <v>0</v>
      </c>
      <c r="P18" s="93">
        <f t="shared" si="6"/>
        <v>4021000</v>
      </c>
      <c r="Q18" s="69">
        <v>55585</v>
      </c>
      <c r="R18" s="93"/>
      <c r="S18" s="93">
        <v>300000</v>
      </c>
      <c r="T18" s="93">
        <v>10000</v>
      </c>
      <c r="U18" s="68">
        <f t="shared" si="2"/>
        <v>3655415</v>
      </c>
      <c r="V18" s="93"/>
      <c r="W18" s="68"/>
      <c r="X18" s="68"/>
    </row>
    <row r="19" spans="1:30" s="68" customFormat="1" ht="14.25" x14ac:dyDescent="0.3">
      <c r="A19" s="68">
        <v>15</v>
      </c>
      <c r="B19" s="68" t="s">
        <v>153</v>
      </c>
      <c r="C19" s="68" t="s">
        <v>154</v>
      </c>
      <c r="E19" s="68">
        <v>31</v>
      </c>
      <c r="F19" s="69">
        <v>25000</v>
      </c>
      <c r="G19" s="69"/>
      <c r="H19" s="69">
        <v>0</v>
      </c>
      <c r="I19" s="69">
        <v>1500000</v>
      </c>
      <c r="J19" s="69">
        <v>200000</v>
      </c>
      <c r="K19" s="69">
        <f t="shared" si="3"/>
        <v>775000</v>
      </c>
      <c r="L19" s="69">
        <v>500000</v>
      </c>
      <c r="M19" s="69">
        <f t="shared" si="5"/>
        <v>0</v>
      </c>
      <c r="N19" s="69"/>
      <c r="O19" s="69"/>
      <c r="P19" s="69">
        <f t="shared" si="6"/>
        <v>2975000</v>
      </c>
      <c r="Q19" s="69">
        <v>55585</v>
      </c>
      <c r="R19" s="69">
        <v>0</v>
      </c>
      <c r="S19" s="69">
        <v>700000</v>
      </c>
      <c r="T19" s="69">
        <v>15000</v>
      </c>
      <c r="U19" s="68">
        <f t="shared" si="2"/>
        <v>2204415</v>
      </c>
      <c r="V19" s="69"/>
    </row>
    <row r="20" spans="1:30" s="68" customFormat="1" ht="14.25" x14ac:dyDescent="0.3">
      <c r="A20" s="68">
        <v>16</v>
      </c>
      <c r="B20" s="68" t="s">
        <v>155</v>
      </c>
      <c r="C20" s="68" t="s">
        <v>42</v>
      </c>
      <c r="E20" s="68">
        <v>27</v>
      </c>
      <c r="F20" s="69">
        <v>25000</v>
      </c>
      <c r="G20" s="69"/>
      <c r="H20" s="69"/>
      <c r="I20" s="69">
        <v>1500000</v>
      </c>
      <c r="J20" s="69">
        <v>200000</v>
      </c>
      <c r="K20" s="69">
        <f t="shared" si="3"/>
        <v>675000</v>
      </c>
      <c r="L20" s="69"/>
      <c r="M20" s="69">
        <f t="shared" si="5"/>
        <v>0</v>
      </c>
      <c r="N20" s="69"/>
      <c r="O20" s="69">
        <v>150000</v>
      </c>
      <c r="P20" s="69">
        <f t="shared" si="6"/>
        <v>2525000</v>
      </c>
      <c r="Q20" s="69"/>
      <c r="R20" s="69"/>
      <c r="S20" s="69">
        <v>150000</v>
      </c>
      <c r="T20" s="69"/>
      <c r="U20" s="68">
        <f t="shared" si="2"/>
        <v>2375000</v>
      </c>
      <c r="V20" s="135"/>
      <c r="W20" s="132"/>
      <c r="X20" s="135"/>
      <c r="Y20" s="132"/>
      <c r="Z20" s="132"/>
      <c r="AA20" s="132"/>
      <c r="AB20" s="132"/>
    </row>
    <row r="21" spans="1:30" s="68" customFormat="1" ht="14.25" x14ac:dyDescent="0.3">
      <c r="A21" s="68">
        <v>17</v>
      </c>
      <c r="B21" s="68" t="s">
        <v>156</v>
      </c>
      <c r="C21" s="68" t="s">
        <v>42</v>
      </c>
      <c r="E21" s="68">
        <v>27</v>
      </c>
      <c r="F21" s="69">
        <v>25000</v>
      </c>
      <c r="G21" s="69"/>
      <c r="H21" s="69"/>
      <c r="I21" s="69">
        <v>1200000</v>
      </c>
      <c r="J21" s="69">
        <v>200000</v>
      </c>
      <c r="K21" s="69">
        <f t="shared" si="3"/>
        <v>675000</v>
      </c>
      <c r="L21" s="69">
        <v>0</v>
      </c>
      <c r="M21" s="69"/>
      <c r="N21" s="69"/>
      <c r="O21" s="69">
        <v>100000</v>
      </c>
      <c r="P21" s="69">
        <f t="shared" si="6"/>
        <v>2175000</v>
      </c>
      <c r="Q21" s="69"/>
      <c r="R21" s="69"/>
      <c r="S21" s="69">
        <v>300000</v>
      </c>
      <c r="T21" s="69"/>
      <c r="U21" s="68">
        <f t="shared" si="2"/>
        <v>1875000</v>
      </c>
      <c r="V21" s="135"/>
      <c r="W21" s="132"/>
      <c r="X21" s="132"/>
      <c r="Y21" s="132"/>
      <c r="Z21" s="132"/>
      <c r="AA21" s="132"/>
      <c r="AB21" s="132"/>
    </row>
    <row r="22" spans="1:30" s="68" customFormat="1" ht="14.25" x14ac:dyDescent="0.3">
      <c r="A22" s="68">
        <v>18</v>
      </c>
      <c r="B22" s="68" t="s">
        <v>157</v>
      </c>
      <c r="C22" s="68" t="s">
        <v>158</v>
      </c>
      <c r="E22" s="68">
        <v>27</v>
      </c>
      <c r="F22" s="69">
        <v>25000</v>
      </c>
      <c r="G22" s="69"/>
      <c r="H22" s="69">
        <v>0</v>
      </c>
      <c r="I22" s="69">
        <v>1500000</v>
      </c>
      <c r="J22" s="69">
        <v>200000</v>
      </c>
      <c r="K22" s="69">
        <f t="shared" si="3"/>
        <v>675000</v>
      </c>
      <c r="L22" s="69">
        <v>0</v>
      </c>
      <c r="M22" s="69">
        <v>0</v>
      </c>
      <c r="N22" s="69"/>
      <c r="O22" s="69">
        <v>250000</v>
      </c>
      <c r="P22" s="69">
        <f t="shared" si="6"/>
        <v>2625000</v>
      </c>
      <c r="Q22" s="69"/>
      <c r="R22" s="69">
        <v>0</v>
      </c>
      <c r="S22" s="69"/>
      <c r="T22" s="69"/>
      <c r="U22" s="68">
        <f t="shared" si="2"/>
        <v>2625000</v>
      </c>
      <c r="V22" s="135"/>
      <c r="W22" s="132"/>
      <c r="X22" s="132"/>
      <c r="Y22" s="132"/>
      <c r="Z22" s="132"/>
      <c r="AA22" s="132"/>
      <c r="AB22" s="132"/>
    </row>
    <row r="23" spans="1:30" s="68" customFormat="1" ht="11.1" customHeight="1" x14ac:dyDescent="0.3">
      <c r="B23" s="65"/>
      <c r="C23" s="65"/>
      <c r="D23" s="65"/>
      <c r="E23" s="65"/>
      <c r="F23" s="93"/>
      <c r="G23" s="93"/>
      <c r="H23" s="93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V23" s="135"/>
      <c r="W23" s="135"/>
      <c r="X23" s="135"/>
      <c r="Y23" s="135"/>
      <c r="Z23" s="137"/>
      <c r="AA23" s="137"/>
      <c r="AB23" s="137"/>
      <c r="AC23" s="124"/>
      <c r="AD23" s="124"/>
    </row>
    <row r="24" spans="1:30" s="68" customFormat="1" ht="14.25" x14ac:dyDescent="0.3">
      <c r="A24" s="125" t="s">
        <v>3</v>
      </c>
      <c r="B24" s="126" t="s">
        <v>4</v>
      </c>
      <c r="C24" s="126" t="s">
        <v>5</v>
      </c>
      <c r="D24" s="126"/>
      <c r="E24" s="127">
        <v>80</v>
      </c>
      <c r="F24" s="127">
        <v>1000000</v>
      </c>
      <c r="G24" s="128" t="s">
        <v>172</v>
      </c>
      <c r="H24" s="128"/>
      <c r="I24" s="129" t="s">
        <v>159</v>
      </c>
      <c r="J24" s="129"/>
      <c r="K24" s="129" t="s">
        <v>12</v>
      </c>
      <c r="L24" s="129" t="s">
        <v>123</v>
      </c>
      <c r="M24" s="129" t="s">
        <v>160</v>
      </c>
      <c r="N24" s="129"/>
      <c r="O24" s="129" t="s">
        <v>161</v>
      </c>
      <c r="P24" s="129" t="s">
        <v>17</v>
      </c>
      <c r="Q24" s="129" t="s">
        <v>162</v>
      </c>
      <c r="R24" s="129"/>
      <c r="S24" s="129" t="s">
        <v>129</v>
      </c>
      <c r="T24" s="129" t="s">
        <v>68</v>
      </c>
      <c r="U24" s="125" t="s">
        <v>21</v>
      </c>
      <c r="V24" s="135"/>
      <c r="W24" s="135"/>
      <c r="X24" s="132"/>
      <c r="Y24" s="132"/>
      <c r="Z24" s="132"/>
      <c r="AA24" s="132"/>
      <c r="AB24" s="132"/>
    </row>
    <row r="25" spans="1:30" s="68" customFormat="1" ht="14.25" x14ac:dyDescent="0.3">
      <c r="A25" s="125"/>
      <c r="B25" s="126"/>
      <c r="C25" s="126"/>
      <c r="D25" s="126"/>
      <c r="E25" s="126" t="s">
        <v>163</v>
      </c>
      <c r="F25" s="128" t="s">
        <v>12</v>
      </c>
      <c r="G25" s="128" t="s">
        <v>22</v>
      </c>
      <c r="H25" s="128" t="s">
        <v>23</v>
      </c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  <c r="U25" s="125"/>
      <c r="V25" s="135"/>
      <c r="W25" s="132"/>
      <c r="X25" s="132"/>
      <c r="Y25" s="132"/>
      <c r="Z25" s="132"/>
      <c r="AA25" s="132"/>
      <c r="AB25" s="132"/>
    </row>
    <row r="26" spans="1:30" s="68" customFormat="1" ht="14.25" x14ac:dyDescent="0.3">
      <c r="A26" s="125">
        <v>1</v>
      </c>
      <c r="B26" s="126" t="s">
        <v>164</v>
      </c>
      <c r="C26" s="126" t="s">
        <v>114</v>
      </c>
      <c r="D26" s="126"/>
      <c r="E26" s="126">
        <v>25</v>
      </c>
      <c r="F26" s="128">
        <v>40000</v>
      </c>
      <c r="G26" s="128">
        <v>87</v>
      </c>
      <c r="H26" s="128">
        <v>3500</v>
      </c>
      <c r="I26" s="129">
        <f>G26/E24*F24</f>
        <v>1087500</v>
      </c>
      <c r="J26" s="129"/>
      <c r="K26" s="129">
        <f>E26*F26</f>
        <v>1000000</v>
      </c>
      <c r="L26" s="129">
        <v>200000</v>
      </c>
      <c r="M26" s="129">
        <f>G26*H26+G27*H27</f>
        <v>379500</v>
      </c>
      <c r="N26" s="129"/>
      <c r="O26" s="129">
        <v>0</v>
      </c>
      <c r="P26" s="129">
        <f>SUM(I26:O26)</f>
        <v>2667000</v>
      </c>
      <c r="Q26" s="129">
        <v>55585</v>
      </c>
      <c r="R26" s="129">
        <v>0</v>
      </c>
      <c r="S26" s="129">
        <v>500000</v>
      </c>
      <c r="T26" s="129"/>
      <c r="U26" s="125">
        <f t="shared" ref="U26:U34" si="7">P26-Q26-R26-S26-T26</f>
        <v>2111415</v>
      </c>
      <c r="V26" s="135"/>
      <c r="W26" s="135"/>
      <c r="X26" s="138"/>
      <c r="Y26" s="139"/>
      <c r="Z26" s="132"/>
      <c r="AA26" s="132"/>
      <c r="AB26" s="132"/>
    </row>
    <row r="27" spans="1:30" s="68" customFormat="1" ht="14.25" x14ac:dyDescent="0.3">
      <c r="A27" s="125"/>
      <c r="B27" s="126"/>
      <c r="C27" s="126"/>
      <c r="D27" s="126"/>
      <c r="E27" s="126"/>
      <c r="F27" s="128"/>
      <c r="G27" s="128">
        <v>15</v>
      </c>
      <c r="H27" s="128">
        <v>5000</v>
      </c>
      <c r="I27" s="129"/>
      <c r="J27" s="129"/>
      <c r="K27" s="129"/>
      <c r="L27" s="129"/>
      <c r="M27" s="129"/>
      <c r="N27" s="129"/>
      <c r="O27" s="129"/>
      <c r="P27" s="129">
        <f t="shared" ref="P27:P34" si="8">SUM(I27:O27)</f>
        <v>0</v>
      </c>
      <c r="Q27" s="129"/>
      <c r="R27" s="129"/>
      <c r="S27" s="125"/>
      <c r="T27" s="129"/>
      <c r="U27" s="125">
        <f t="shared" si="7"/>
        <v>0</v>
      </c>
      <c r="V27" s="135"/>
      <c r="W27" s="135"/>
      <c r="X27" s="138"/>
      <c r="Y27" s="139"/>
      <c r="Z27" s="132"/>
      <c r="AA27" s="132"/>
      <c r="AB27" s="132"/>
    </row>
    <row r="28" spans="1:30" s="68" customFormat="1" ht="14.25" x14ac:dyDescent="0.3">
      <c r="A28" s="125">
        <v>2</v>
      </c>
      <c r="B28" s="130" t="s">
        <v>165</v>
      </c>
      <c r="C28" s="130" t="s">
        <v>114</v>
      </c>
      <c r="D28" s="130"/>
      <c r="E28" s="130">
        <v>26</v>
      </c>
      <c r="F28" s="131">
        <v>40000</v>
      </c>
      <c r="G28" s="131">
        <v>125</v>
      </c>
      <c r="H28" s="129">
        <v>4000</v>
      </c>
      <c r="I28" s="129">
        <f>G28/E24*F24</f>
        <v>1562500</v>
      </c>
      <c r="J28" s="129"/>
      <c r="K28" s="129">
        <f t="shared" ref="K28:K35" si="9">E28*F28</f>
        <v>1040000</v>
      </c>
      <c r="L28" s="129">
        <v>200000</v>
      </c>
      <c r="M28" s="129">
        <f>G28*H28+G29*H29</f>
        <v>585000</v>
      </c>
      <c r="N28" s="129"/>
      <c r="O28" s="129">
        <v>0</v>
      </c>
      <c r="P28" s="129">
        <f t="shared" si="8"/>
        <v>3387500</v>
      </c>
      <c r="Q28" s="129">
        <v>55585</v>
      </c>
      <c r="R28" s="129">
        <v>0</v>
      </c>
      <c r="S28" s="129"/>
      <c r="T28" s="129"/>
      <c r="U28" s="125">
        <f t="shared" si="7"/>
        <v>3331915</v>
      </c>
      <c r="V28" s="135"/>
      <c r="W28" s="135"/>
      <c r="X28" s="138"/>
      <c r="Y28" s="139"/>
      <c r="Z28" s="132"/>
      <c r="AA28" s="132"/>
      <c r="AB28" s="132"/>
    </row>
    <row r="29" spans="1:30" s="68" customFormat="1" ht="14.25" x14ac:dyDescent="0.3">
      <c r="A29" s="125"/>
      <c r="B29" s="125"/>
      <c r="C29" s="125"/>
      <c r="D29" s="125"/>
      <c r="E29" s="125"/>
      <c r="F29" s="129"/>
      <c r="G29" s="129">
        <v>17</v>
      </c>
      <c r="H29" s="129">
        <v>5000</v>
      </c>
      <c r="I29" s="129"/>
      <c r="J29" s="129"/>
      <c r="K29" s="129">
        <f t="shared" si="9"/>
        <v>0</v>
      </c>
      <c r="L29" s="129"/>
      <c r="M29" s="129"/>
      <c r="N29" s="129"/>
      <c r="O29" s="129"/>
      <c r="P29" s="129">
        <f t="shared" si="8"/>
        <v>0</v>
      </c>
      <c r="Q29" s="129"/>
      <c r="R29" s="129"/>
      <c r="S29" s="129"/>
      <c r="T29" s="129"/>
      <c r="U29" s="125">
        <f t="shared" si="7"/>
        <v>0</v>
      </c>
      <c r="V29" s="135"/>
      <c r="W29" s="135"/>
      <c r="X29" s="138"/>
      <c r="Y29" s="139"/>
      <c r="Z29" s="132"/>
      <c r="AA29" s="132"/>
      <c r="AB29" s="132"/>
    </row>
    <row r="30" spans="1:30" s="68" customFormat="1" ht="14.25" x14ac:dyDescent="0.3">
      <c r="A30" s="125">
        <v>3</v>
      </c>
      <c r="B30" s="125" t="s">
        <v>166</v>
      </c>
      <c r="C30" s="125" t="s">
        <v>114</v>
      </c>
      <c r="D30" s="125"/>
      <c r="E30" s="125">
        <v>25</v>
      </c>
      <c r="F30" s="129">
        <v>40000</v>
      </c>
      <c r="G30" s="129">
        <v>97</v>
      </c>
      <c r="H30" s="129">
        <v>3500</v>
      </c>
      <c r="I30" s="129">
        <f>G30/E24*F24</f>
        <v>1212500</v>
      </c>
      <c r="J30" s="129"/>
      <c r="K30" s="129">
        <f t="shared" si="9"/>
        <v>1000000</v>
      </c>
      <c r="L30" s="129">
        <v>200000</v>
      </c>
      <c r="M30" s="129">
        <f>G30*H30+G31*H31</f>
        <v>354500</v>
      </c>
      <c r="N30" s="129"/>
      <c r="O30" s="129">
        <v>0</v>
      </c>
      <c r="P30" s="129">
        <f t="shared" si="8"/>
        <v>2767000</v>
      </c>
      <c r="Q30" s="129">
        <v>55585</v>
      </c>
      <c r="R30" s="129"/>
      <c r="S30" s="129">
        <v>200000</v>
      </c>
      <c r="T30" s="129"/>
      <c r="U30" s="125">
        <f t="shared" si="7"/>
        <v>2511415</v>
      </c>
      <c r="V30" s="135"/>
      <c r="W30" s="135"/>
      <c r="X30" s="138"/>
      <c r="Y30" s="139"/>
      <c r="Z30" s="132"/>
      <c r="AA30" s="132"/>
      <c r="AB30" s="132"/>
    </row>
    <row r="31" spans="1:30" s="68" customFormat="1" ht="14.25" x14ac:dyDescent="0.3">
      <c r="A31" s="125"/>
      <c r="B31" s="125" t="s">
        <v>167</v>
      </c>
      <c r="C31" s="125"/>
      <c r="D31" s="125"/>
      <c r="E31" s="125"/>
      <c r="F31" s="129"/>
      <c r="G31" s="129">
        <v>3</v>
      </c>
      <c r="H31" s="129">
        <v>5000</v>
      </c>
      <c r="I31" s="129"/>
      <c r="J31" s="129"/>
      <c r="K31" s="129">
        <f t="shared" si="9"/>
        <v>0</v>
      </c>
      <c r="L31" s="129"/>
      <c r="M31" s="129"/>
      <c r="N31" s="129"/>
      <c r="O31" s="129"/>
      <c r="P31" s="129">
        <f t="shared" si="8"/>
        <v>0</v>
      </c>
      <c r="Q31" s="129"/>
      <c r="R31" s="129"/>
      <c r="S31" s="129"/>
      <c r="T31" s="129"/>
      <c r="U31" s="125">
        <f t="shared" si="7"/>
        <v>0</v>
      </c>
      <c r="V31" s="135"/>
      <c r="W31" s="135"/>
      <c r="X31" s="138"/>
      <c r="Y31" s="139"/>
      <c r="Z31" s="137"/>
      <c r="AA31" s="137"/>
      <c r="AB31" s="137"/>
      <c r="AC31" s="124"/>
    </row>
    <row r="32" spans="1:30" s="68" customFormat="1" ht="14.25" x14ac:dyDescent="0.3">
      <c r="A32" s="125">
        <v>4</v>
      </c>
      <c r="B32" s="125" t="s">
        <v>168</v>
      </c>
      <c r="C32" s="125" t="s">
        <v>114</v>
      </c>
      <c r="D32" s="125"/>
      <c r="E32" s="125">
        <v>26</v>
      </c>
      <c r="F32" s="129">
        <v>40000</v>
      </c>
      <c r="G32" s="129">
        <v>80</v>
      </c>
      <c r="H32" s="129">
        <v>3500</v>
      </c>
      <c r="I32" s="129">
        <f>G32/E24*F24</f>
        <v>1000000</v>
      </c>
      <c r="J32" s="129"/>
      <c r="K32" s="129">
        <f t="shared" si="9"/>
        <v>1040000</v>
      </c>
      <c r="L32" s="129">
        <v>200000</v>
      </c>
      <c r="M32" s="129">
        <f>G32*H32+G33*H33</f>
        <v>345000</v>
      </c>
      <c r="N32" s="129"/>
      <c r="O32" s="129">
        <v>0</v>
      </c>
      <c r="P32" s="129">
        <f t="shared" si="8"/>
        <v>2585000</v>
      </c>
      <c r="Q32" s="129">
        <v>55585</v>
      </c>
      <c r="R32" s="129"/>
      <c r="S32" s="129">
        <v>300000</v>
      </c>
      <c r="T32" s="129"/>
      <c r="U32" s="125">
        <f t="shared" si="7"/>
        <v>2229415</v>
      </c>
      <c r="V32" s="135"/>
      <c r="W32" s="135"/>
      <c r="X32" s="138"/>
      <c r="Y32" s="139"/>
      <c r="Z32" s="132"/>
      <c r="AA32" s="132"/>
      <c r="AB32" s="132"/>
    </row>
    <row r="33" spans="1:28" s="68" customFormat="1" ht="14.25" x14ac:dyDescent="0.3">
      <c r="A33" s="125"/>
      <c r="B33" s="125"/>
      <c r="C33" s="125"/>
      <c r="D33" s="125"/>
      <c r="E33" s="125"/>
      <c r="F33" s="129"/>
      <c r="G33" s="129">
        <v>13</v>
      </c>
      <c r="H33" s="129">
        <v>5000</v>
      </c>
      <c r="I33" s="129"/>
      <c r="J33" s="129"/>
      <c r="K33" s="129">
        <f t="shared" si="9"/>
        <v>0</v>
      </c>
      <c r="L33" s="129"/>
      <c r="M33" s="129"/>
      <c r="N33" s="129"/>
      <c r="O33" s="129"/>
      <c r="P33" s="129">
        <f t="shared" si="8"/>
        <v>0</v>
      </c>
      <c r="Q33" s="129"/>
      <c r="R33" s="129"/>
      <c r="S33" s="129"/>
      <c r="T33" s="129"/>
      <c r="U33" s="125">
        <f t="shared" si="7"/>
        <v>0</v>
      </c>
      <c r="V33" s="135"/>
      <c r="W33" s="135"/>
      <c r="X33" s="138"/>
      <c r="Y33" s="139"/>
      <c r="Z33" s="132"/>
      <c r="AA33" s="132"/>
      <c r="AB33" s="132"/>
    </row>
    <row r="34" spans="1:28" s="68" customFormat="1" ht="14.25" x14ac:dyDescent="0.3">
      <c r="A34" s="125">
        <v>5</v>
      </c>
      <c r="B34" s="125" t="s">
        <v>169</v>
      </c>
      <c r="C34" s="125" t="s">
        <v>114</v>
      </c>
      <c r="D34" s="125"/>
      <c r="E34" s="125">
        <v>27</v>
      </c>
      <c r="F34" s="129">
        <v>40000</v>
      </c>
      <c r="G34" s="129">
        <v>96</v>
      </c>
      <c r="H34" s="129">
        <v>3000</v>
      </c>
      <c r="I34" s="129">
        <f>G34/E24*F24</f>
        <v>1200000</v>
      </c>
      <c r="J34" s="129"/>
      <c r="K34" s="129">
        <f t="shared" si="9"/>
        <v>1080000</v>
      </c>
      <c r="L34" s="129">
        <v>200000</v>
      </c>
      <c r="M34" s="129">
        <f>G34*H34+G35*H35</f>
        <v>383000</v>
      </c>
      <c r="N34" s="129"/>
      <c r="O34" s="129">
        <v>100000</v>
      </c>
      <c r="P34" s="129">
        <f t="shared" si="8"/>
        <v>2963000</v>
      </c>
      <c r="Q34" s="129">
        <v>0</v>
      </c>
      <c r="R34" s="129"/>
      <c r="S34" s="129">
        <v>300000</v>
      </c>
      <c r="T34" s="129"/>
      <c r="U34" s="125">
        <f t="shared" si="7"/>
        <v>2663000</v>
      </c>
      <c r="V34" s="135"/>
      <c r="W34" s="135"/>
      <c r="X34" s="132"/>
      <c r="Y34" s="132"/>
      <c r="Z34" s="132"/>
      <c r="AA34" s="132"/>
      <c r="AB34" s="132"/>
    </row>
    <row r="35" spans="1:28" s="68" customFormat="1" ht="14.25" x14ac:dyDescent="0.3">
      <c r="A35" s="125"/>
      <c r="B35" s="125"/>
      <c r="C35" s="125"/>
      <c r="D35" s="125"/>
      <c r="E35" s="125"/>
      <c r="F35" s="129"/>
      <c r="G35" s="129">
        <v>19</v>
      </c>
      <c r="H35" s="129">
        <v>5000</v>
      </c>
      <c r="I35" s="129"/>
      <c r="J35" s="129"/>
      <c r="K35" s="129">
        <f t="shared" si="9"/>
        <v>0</v>
      </c>
      <c r="L35" s="129"/>
      <c r="M35" s="129"/>
      <c r="N35" s="129"/>
      <c r="O35" s="129"/>
      <c r="P35" s="129"/>
      <c r="Q35" s="129"/>
      <c r="R35" s="129"/>
      <c r="S35" s="125"/>
      <c r="T35" s="129"/>
      <c r="U35" s="125"/>
      <c r="V35" s="135"/>
      <c r="W35" s="135"/>
      <c r="X35" s="135"/>
      <c r="Y35" s="135"/>
      <c r="Z35" s="132"/>
      <c r="AA35" s="132"/>
      <c r="AB35" s="132"/>
    </row>
    <row r="36" spans="1:28" s="68" customFormat="1" ht="14.25" x14ac:dyDescent="0.3"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V36" s="135"/>
      <c r="W36" s="135"/>
      <c r="X36" s="132"/>
      <c r="Y36" s="132"/>
      <c r="Z36" s="132"/>
      <c r="AA36" s="132"/>
      <c r="AB36" s="132"/>
    </row>
  </sheetData>
  <mergeCells count="1">
    <mergeCell ref="Q3:T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BGR</vt:lpstr>
      <vt:lpstr>KRW</vt:lpstr>
      <vt:lpstr>ckr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muhammad imam</cp:lastModifiedBy>
  <dcterms:created xsi:type="dcterms:W3CDTF">2025-11-09T14:41:21Z</dcterms:created>
  <dcterms:modified xsi:type="dcterms:W3CDTF">2025-11-14T02:24:06Z</dcterms:modified>
</cp:coreProperties>
</file>